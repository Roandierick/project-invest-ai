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verlinkb\Downloads\"/>
    </mc:Choice>
  </mc:AlternateContent>
  <xr:revisionPtr revIDLastSave="0" documentId="8_{9065B681-0377-4C99-B783-9699837F75C5}" xr6:coauthVersionLast="47" xr6:coauthVersionMax="47" xr10:uidLastSave="{00000000-0000-0000-0000-000000000000}"/>
  <bookViews>
    <workbookView xWindow="-13005" yWindow="-21720" windowWidth="51840" windowHeight="21120" xr2:uid="{00000000-000D-0000-FFFF-FFFF00000000}"/>
  </bookViews>
  <sheets>
    <sheet name="OverzichtOpcentiemen" sheetId="1" r:id="rId1"/>
  </sheets>
  <definedNames>
    <definedName name="_xlnm.Print_Area" localSheetId="0">OverzichtOpcentiemen!$A$1:$P$432</definedName>
    <definedName name="_xlnm.Print_Titles" localSheetId="0">OverzichtOpcentiemen!$1:$1</definedName>
    <definedName name="OpcentiemenGemeenten">OverzichtOpcentiemen!$A$1:$J$419</definedName>
    <definedName name="OpcentiemenProvincie">OverzichtOpcentiemen!$A$425:$J$430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1" i="1" l="1"/>
  <c r="P422" i="1"/>
  <c r="P423" i="1"/>
  <c r="O422" i="1"/>
  <c r="O423" i="1"/>
  <c r="O421" i="1"/>
  <c r="N423" i="1"/>
  <c r="N422" i="1"/>
  <c r="N421" i="1"/>
  <c r="M423" i="1"/>
  <c r="L421" i="1"/>
  <c r="L422" i="1"/>
  <c r="L423" i="1"/>
  <c r="K421" i="1"/>
  <c r="K422" i="1"/>
  <c r="K423" i="1"/>
  <c r="C422" i="1" l="1"/>
  <c r="D422" i="1"/>
  <c r="E422" i="1"/>
  <c r="F422" i="1"/>
  <c r="G422" i="1"/>
  <c r="H422" i="1"/>
  <c r="I422" i="1"/>
  <c r="J422" i="1"/>
  <c r="C423" i="1"/>
  <c r="D423" i="1"/>
  <c r="E423" i="1"/>
  <c r="F423" i="1"/>
  <c r="G423" i="1"/>
  <c r="H423" i="1"/>
  <c r="I423" i="1"/>
  <c r="J423" i="1"/>
  <c r="B423" i="1"/>
  <c r="B422" i="1"/>
  <c r="C421" i="1"/>
  <c r="D421" i="1"/>
  <c r="E421" i="1"/>
  <c r="F421" i="1"/>
  <c r="G421" i="1"/>
  <c r="H421" i="1"/>
  <c r="I421" i="1"/>
  <c r="J421" i="1"/>
  <c r="B421" i="1"/>
</calcChain>
</file>

<file path=xl/sharedStrings.xml><?xml version="1.0" encoding="utf-8"?>
<sst xmlns="http://schemas.openxmlformats.org/spreadsheetml/2006/main" count="624" uniqueCount="357">
  <si>
    <t>Gemeente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</si>
  <si>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</si>
  <si>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</si>
  <si>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</si>
  <si>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</si>
  <si>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</si>
  <si>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</si>
  <si>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</si>
  <si>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</si>
  <si>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</si>
  <si>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</si>
  <si>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</si>
  <si>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</si>
  <si>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</si>
  <si>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</si>
  <si>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 AALST</t>
  </si>
  <si>
    <t xml:space="preserve"> AALTER</t>
  </si>
  <si>
    <t xml:space="preserve"> AARSCHOT</t>
  </si>
  <si>
    <t xml:space="preserve"> AARTSELAAR</t>
  </si>
  <si>
    <t xml:space="preserve"> AFFLIGEM</t>
  </si>
  <si>
    <t xml:space="preserve"> ALKEN</t>
  </si>
  <si>
    <t xml:space="preserve"> ALVERINGEM</t>
  </si>
  <si>
    <t xml:space="preserve"> ANTWERPEN - gedifferentieerde opcentiem</t>
  </si>
  <si>
    <t xml:space="preserve"> ANZEGEM</t>
  </si>
  <si>
    <t xml:space="preserve"> ARDOOIE</t>
  </si>
  <si>
    <t xml:space="preserve"> ARENDONK</t>
  </si>
  <si>
    <t xml:space="preserve"> AS</t>
  </si>
  <si>
    <t xml:space="preserve"> ASSE</t>
  </si>
  <si>
    <t xml:space="preserve"> ASSENEDE</t>
  </si>
  <si>
    <t xml:space="preserve"> AVELGEM</t>
  </si>
  <si>
    <t xml:space="preserve"> BAARLE-HERTOG</t>
  </si>
  <si>
    <t xml:space="preserve"> BALEN</t>
  </si>
  <si>
    <t xml:space="preserve"> BEERNEM</t>
  </si>
  <si>
    <t xml:space="preserve"> BEERSE</t>
  </si>
  <si>
    <t xml:space="preserve"> BEGIJNENDIJK</t>
  </si>
  <si>
    <t xml:space="preserve"> BEKKEVOORT</t>
  </si>
  <si>
    <t xml:space="preserve"> BERINGEN</t>
  </si>
  <si>
    <t xml:space="preserve"> BERLAAR</t>
  </si>
  <si>
    <t xml:space="preserve"> BERLARE</t>
  </si>
  <si>
    <t xml:space="preserve"> BERTEM</t>
  </si>
  <si>
    <t xml:space="preserve"> BEVER</t>
  </si>
  <si>
    <t xml:space="preserve"> BEVEREN</t>
  </si>
  <si>
    <t>(**)</t>
  </si>
  <si>
    <t xml:space="preserve"> BIERBEEK</t>
  </si>
  <si>
    <t xml:space="preserve"> BILZEN</t>
  </si>
  <si>
    <t>BILZEN-HOESELT</t>
  </si>
  <si>
    <t xml:space="preserve"> BLANKENBERGE</t>
  </si>
  <si>
    <t xml:space="preserve"> BOCHOLT</t>
  </si>
  <si>
    <t xml:space="preserve"> BONHEIDEN</t>
  </si>
  <si>
    <t xml:space="preserve"> BOOM</t>
  </si>
  <si>
    <t xml:space="preserve"> BOORTMEERBEEK</t>
  </si>
  <si>
    <t xml:space="preserve"> BORGLOON</t>
  </si>
  <si>
    <t xml:space="preserve"> BORNEM</t>
  </si>
  <si>
    <t xml:space="preserve"> BORSBEEK</t>
  </si>
  <si>
    <t xml:space="preserve"> BOUTERSEM</t>
  </si>
  <si>
    <t xml:space="preserve"> BRAKEL</t>
  </si>
  <si>
    <t xml:space="preserve"> BRASSCHAAT</t>
  </si>
  <si>
    <t xml:space="preserve"> BRECHT</t>
  </si>
  <si>
    <t xml:space="preserve"> BREDENE</t>
  </si>
  <si>
    <t xml:space="preserve"> BREE</t>
  </si>
  <si>
    <t xml:space="preserve"> BRUGGE</t>
  </si>
  <si>
    <t xml:space="preserve"> BUGGENHOUT</t>
  </si>
  <si>
    <t xml:space="preserve"> DAMME</t>
  </si>
  <si>
    <t xml:space="preserve"> DE HAAN</t>
  </si>
  <si>
    <t xml:space="preserve"> DE PANNE</t>
  </si>
  <si>
    <t xml:space="preserve"> DE PINTE</t>
  </si>
  <si>
    <t xml:space="preserve"> DEERLIJK</t>
  </si>
  <si>
    <t xml:space="preserve"> DEINZE</t>
  </si>
  <si>
    <t xml:space="preserve"> DENDERLEEUW</t>
  </si>
  <si>
    <t xml:space="preserve"> DENTERGEM</t>
  </si>
  <si>
    <t xml:space="preserve"> DESSEL</t>
  </si>
  <si>
    <t xml:space="preserve"> DESTELBERGEN</t>
  </si>
  <si>
    <t xml:space="preserve"> DIEPENBEEK</t>
  </si>
  <si>
    <t xml:space="preserve"> DIEST</t>
  </si>
  <si>
    <t xml:space="preserve"> DIKSMUIDE</t>
  </si>
  <si>
    <t xml:space="preserve"> DILBEEK - gedifferentieerde opcentiem</t>
  </si>
  <si>
    <t xml:space="preserve"> DILSEN-STOKKEM</t>
  </si>
  <si>
    <t xml:space="preserve"> DROGENBOS</t>
  </si>
  <si>
    <t xml:space="preserve"> DUFFEL</t>
  </si>
  <si>
    <t xml:space="preserve"> EDEGEM</t>
  </si>
  <si>
    <t xml:space="preserve"> EEKLO</t>
  </si>
  <si>
    <t xml:space="preserve"> ERPE-MERE</t>
  </si>
  <si>
    <t xml:space="preserve"> ESSEN</t>
  </si>
  <si>
    <t xml:space="preserve"> EVERGEM</t>
  </si>
  <si>
    <t xml:space="preserve"> GALMAARDEN</t>
  </si>
  <si>
    <t xml:space="preserve"> GAVERE</t>
  </si>
  <si>
    <t xml:space="preserve"> GEEL - gedifferentieerde opcentiem</t>
  </si>
  <si>
    <t xml:space="preserve"> GEETBETS</t>
  </si>
  <si>
    <t xml:space="preserve"> GENK</t>
  </si>
  <si>
    <t xml:space="preserve"> GENT</t>
  </si>
  <si>
    <t xml:space="preserve"> GERAARDSBERGEN</t>
  </si>
  <si>
    <t xml:space="preserve"> GINGELOM</t>
  </si>
  <si>
    <t xml:space="preserve"> GISTEL - gedifferentieerde opcentiem</t>
  </si>
  <si>
    <t xml:space="preserve"> GLABBEEK</t>
  </si>
  <si>
    <t xml:space="preserve"> GOOIK</t>
  </si>
  <si>
    <t xml:space="preserve"> GRIMBERGEN</t>
  </si>
  <si>
    <t xml:space="preserve"> GROBBENDONK</t>
  </si>
  <si>
    <t xml:space="preserve"> HAACHT</t>
  </si>
  <si>
    <t xml:space="preserve"> HAALTERT</t>
  </si>
  <si>
    <t xml:space="preserve"> HALEN</t>
  </si>
  <si>
    <t xml:space="preserve"> HALLE</t>
  </si>
  <si>
    <t xml:space="preserve"> HAM</t>
  </si>
  <si>
    <t xml:space="preserve"> HAMME</t>
  </si>
  <si>
    <t xml:space="preserve"> HAMONT-ACHEL</t>
  </si>
  <si>
    <t xml:space="preserve"> HARELBEKE</t>
  </si>
  <si>
    <t xml:space="preserve"> HASSELT</t>
  </si>
  <si>
    <t xml:space="preserve"> HECHTEL-EKSEL</t>
  </si>
  <si>
    <t xml:space="preserve"> HEERS</t>
  </si>
  <si>
    <t xml:space="preserve"> HEIST-OP-DEN-BERG</t>
  </si>
  <si>
    <t xml:space="preserve"> HEMIKSEM</t>
  </si>
  <si>
    <t xml:space="preserve"> HERENT</t>
  </si>
  <si>
    <t xml:space="preserve"> HERENTALS</t>
  </si>
  <si>
    <t xml:space="preserve"> HERENTHOUT</t>
  </si>
  <si>
    <t xml:space="preserve"> HERK-DE-STAD - gedifferentieerde opcentiemen</t>
  </si>
  <si>
    <t xml:space="preserve"> HERNE</t>
  </si>
  <si>
    <t xml:space="preserve"> HERSELT</t>
  </si>
  <si>
    <t xml:space="preserve"> HERSTAPPE</t>
  </si>
  <si>
    <t xml:space="preserve"> HERZELE</t>
  </si>
  <si>
    <t xml:space="preserve"> HEUVELLAND</t>
  </si>
  <si>
    <t xml:space="preserve"> HOEGAARDEN</t>
  </si>
  <si>
    <t xml:space="preserve"> HOEILAART</t>
  </si>
  <si>
    <t xml:space="preserve"> HOESELT</t>
  </si>
  <si>
    <t xml:space="preserve"> HOLSBEEK</t>
  </si>
  <si>
    <t xml:space="preserve"> HOOGSTRATEN</t>
  </si>
  <si>
    <t xml:space="preserve"> HOREBEKE</t>
  </si>
  <si>
    <t xml:space="preserve"> HOUTHALEN-HELCHTEREN</t>
  </si>
  <si>
    <t xml:space="preserve"> HOUTHULST</t>
  </si>
  <si>
    <t xml:space="preserve"> HOVE</t>
  </si>
  <si>
    <t xml:space="preserve"> HULDENBERG</t>
  </si>
  <si>
    <t xml:space="preserve"> HULSHOUT</t>
  </si>
  <si>
    <t xml:space="preserve"> ICHTEGEM</t>
  </si>
  <si>
    <t xml:space="preserve"> IEPER</t>
  </si>
  <si>
    <t xml:space="preserve"> INGELMUNSTER</t>
  </si>
  <si>
    <t xml:space="preserve"> IZEGEM</t>
  </si>
  <si>
    <t xml:space="preserve"> JABBEKE</t>
  </si>
  <si>
    <t xml:space="preserve"> KALMTHOUT</t>
  </si>
  <si>
    <t xml:space="preserve"> KAMPENHOUT</t>
  </si>
  <si>
    <t xml:space="preserve"> KAPELLEN</t>
  </si>
  <si>
    <t xml:space="preserve"> KASTERLEE</t>
  </si>
  <si>
    <t xml:space="preserve"> KEERBERGEN</t>
  </si>
  <si>
    <t xml:space="preserve"> KINROOI</t>
  </si>
  <si>
    <t xml:space="preserve"> KLUISBERGEN</t>
  </si>
  <si>
    <t xml:space="preserve"> KNESSELARE</t>
  </si>
  <si>
    <t>(*)</t>
  </si>
  <si>
    <t xml:space="preserve"> KNOKKE-HEIST</t>
  </si>
  <si>
    <t xml:space="preserve"> KOEKELARE</t>
  </si>
  <si>
    <t xml:space="preserve"> KOKSIJDE</t>
  </si>
  <si>
    <t xml:space="preserve"> KORTEMARK</t>
  </si>
  <si>
    <t xml:space="preserve"> KORTENAKEN</t>
  </si>
  <si>
    <t xml:space="preserve"> KORTENBERG</t>
  </si>
  <si>
    <t xml:space="preserve"> KORTESSEM</t>
  </si>
  <si>
    <t xml:space="preserve"> KORTRIJK</t>
  </si>
  <si>
    <t xml:space="preserve"> KRAAINEM</t>
  </si>
  <si>
    <t xml:space="preserve"> KRUIBEKE</t>
  </si>
  <si>
    <t>/</t>
  </si>
  <si>
    <t>693 (*)</t>
  </si>
  <si>
    <t xml:space="preserve"> KRUISHOUTEM</t>
  </si>
  <si>
    <t xml:space="preserve"> KUURNE</t>
  </si>
  <si>
    <t xml:space="preserve"> LAAKDAL</t>
  </si>
  <si>
    <t xml:space="preserve"> LAARNE</t>
  </si>
  <si>
    <t xml:space="preserve"> LANAKEN</t>
  </si>
  <si>
    <t xml:space="preserve"> LANDEN</t>
  </si>
  <si>
    <t xml:space="preserve"> LANGEMARK-POELKAPELLE</t>
  </si>
  <si>
    <t xml:space="preserve"> LEBBEKE</t>
  </si>
  <si>
    <t xml:space="preserve"> LEDE</t>
  </si>
  <si>
    <t xml:space="preserve"> LEDEGEM</t>
  </si>
  <si>
    <t xml:space="preserve"> LENDELEDE</t>
  </si>
  <si>
    <t xml:space="preserve"> LENNIK</t>
  </si>
  <si>
    <t xml:space="preserve"> LEOPOLDSBURG</t>
  </si>
  <si>
    <t xml:space="preserve"> LICHTERVELDE</t>
  </si>
  <si>
    <t xml:space="preserve"> LIEDEKERKE</t>
  </si>
  <si>
    <t xml:space="preserve"> LIERDE</t>
  </si>
  <si>
    <t xml:space="preserve"> LIEVEGEM</t>
  </si>
  <si>
    <t>834 (*)</t>
  </si>
  <si>
    <t xml:space="preserve"> LILLE</t>
  </si>
  <si>
    <t xml:space="preserve"> LINKEBEEK</t>
  </si>
  <si>
    <t xml:space="preserve"> LINTER</t>
  </si>
  <si>
    <t xml:space="preserve"> LOCHRISTI</t>
  </si>
  <si>
    <t xml:space="preserve"> LOKEREN</t>
  </si>
  <si>
    <t xml:space="preserve"> LOMMEL</t>
  </si>
  <si>
    <t xml:space="preserve"> LONDERZEEL - gedifferentieerde opcentiem</t>
  </si>
  <si>
    <t xml:space="preserve"> LO-RENINGE</t>
  </si>
  <si>
    <t xml:space="preserve"> LOVENDEGEM</t>
  </si>
  <si>
    <t xml:space="preserve"> LUBBEEK</t>
  </si>
  <si>
    <t xml:space="preserve"> LUMMEN</t>
  </si>
  <si>
    <t xml:space="preserve"> MAARKEDAL</t>
  </si>
  <si>
    <t xml:space="preserve"> MAASEIK</t>
  </si>
  <si>
    <t xml:space="preserve"> MAASMECHELEN</t>
  </si>
  <si>
    <t xml:space="preserve"> MALDEGEM</t>
  </si>
  <si>
    <t xml:space="preserve"> MALLE</t>
  </si>
  <si>
    <t xml:space="preserve"> MEERHOUT</t>
  </si>
  <si>
    <t xml:space="preserve"> MEEUWEN-GRUITRODE</t>
  </si>
  <si>
    <t xml:space="preserve"> MEISE</t>
  </si>
  <si>
    <t xml:space="preserve"> MELLE</t>
  </si>
  <si>
    <t xml:space="preserve"> MENEN</t>
  </si>
  <si>
    <t xml:space="preserve"> MERCHTEM</t>
  </si>
  <si>
    <t xml:space="preserve"> MERELBEKE</t>
  </si>
  <si>
    <t>MERELBEKE-MELLE</t>
  </si>
  <si>
    <t xml:space="preserve"> MERKSPLAS</t>
  </si>
  <si>
    <t xml:space="preserve"> MESEN</t>
  </si>
  <si>
    <t xml:space="preserve"> MEULEBEKE</t>
  </si>
  <si>
    <t xml:space="preserve"> MIDDELKERKE</t>
  </si>
  <si>
    <t xml:space="preserve"> MOERBEKE</t>
  </si>
  <si>
    <t xml:space="preserve"> MOL</t>
  </si>
  <si>
    <t xml:space="preserve"> MOORSLEDE</t>
  </si>
  <si>
    <t xml:space="preserve"> MORTSEL</t>
  </si>
  <si>
    <t xml:space="preserve"> NAZARETH</t>
  </si>
  <si>
    <t>NAZARETH-DE PINTE</t>
  </si>
  <si>
    <t xml:space="preserve"> NEERPELT</t>
  </si>
  <si>
    <t xml:space="preserve"> NEVELE</t>
  </si>
  <si>
    <t xml:space="preserve"> NIEL</t>
  </si>
  <si>
    <t xml:space="preserve"> NIEUWERKERKEN</t>
  </si>
  <si>
    <t xml:space="preserve"> NIEUWPOORT</t>
  </si>
  <si>
    <t xml:space="preserve"> NIJLEN</t>
  </si>
  <si>
    <t xml:space="preserve"> NINOVE</t>
  </si>
  <si>
    <t xml:space="preserve"> OOSTENDE</t>
  </si>
  <si>
    <t xml:space="preserve"> OOSTERZELE</t>
  </si>
  <si>
    <t xml:space="preserve"> OOSTKAMP</t>
  </si>
  <si>
    <t xml:space="preserve"> OOSTROZEBEKE</t>
  </si>
  <si>
    <t xml:space="preserve"> OPGLABBEEK</t>
  </si>
  <si>
    <t xml:space="preserve"> OPWIJK</t>
  </si>
  <si>
    <t xml:space="preserve"> OUDENAARDE</t>
  </si>
  <si>
    <t xml:space="preserve"> OUDENBURG</t>
  </si>
  <si>
    <t xml:space="preserve"> OUD-HEVERLEE</t>
  </si>
  <si>
    <t xml:space="preserve"> OUDSBERGEN</t>
  </si>
  <si>
    <t>838 (*)</t>
  </si>
  <si>
    <t xml:space="preserve"> OUD-TURNHOUT</t>
  </si>
  <si>
    <t xml:space="preserve"> OVERIJSE</t>
  </si>
  <si>
    <t xml:space="preserve"> OVERPELT</t>
  </si>
  <si>
    <t>PAJOTTEGEM</t>
  </si>
  <si>
    <t xml:space="preserve"> PEER</t>
  </si>
  <si>
    <t>741 (*)</t>
  </si>
  <si>
    <t xml:space="preserve"> PEPINGEN</t>
  </si>
  <si>
    <t xml:space="preserve"> PITTEM</t>
  </si>
  <si>
    <t xml:space="preserve"> POPERINGE</t>
  </si>
  <si>
    <t xml:space="preserve"> PUURS</t>
  </si>
  <si>
    <t>941 (*)</t>
  </si>
  <si>
    <t>998 (*)</t>
  </si>
  <si>
    <t xml:space="preserve"> RAVELS</t>
  </si>
  <si>
    <t xml:space="preserve"> RETIE</t>
  </si>
  <si>
    <t xml:space="preserve"> RIEMST</t>
  </si>
  <si>
    <t xml:space="preserve"> RIJKEVORSEL</t>
  </si>
  <si>
    <t xml:space="preserve"> ROESELARE</t>
  </si>
  <si>
    <t xml:space="preserve"> RONSE</t>
  </si>
  <si>
    <t xml:space="preserve"> ROOSDAAL</t>
  </si>
  <si>
    <t xml:space="preserve"> ROTSELAAR</t>
  </si>
  <si>
    <t xml:space="preserve"> RUISELEDE</t>
  </si>
  <si>
    <t xml:space="preserve"> RUMST</t>
  </si>
  <si>
    <t xml:space="preserve"> SCHELLE</t>
  </si>
  <si>
    <t xml:space="preserve"> SCHERPENHEUVEL-ZICH</t>
  </si>
  <si>
    <t xml:space="preserve"> SCHILDE</t>
  </si>
  <si>
    <t xml:space="preserve"> SCHOTEN</t>
  </si>
  <si>
    <t xml:space="preserve"> SINT-AMANDS</t>
  </si>
  <si>
    <t xml:space="preserve"> SINT-GENESIUS-RODE</t>
  </si>
  <si>
    <t xml:space="preserve"> SINT-GILLIS-WAAS</t>
  </si>
  <si>
    <t xml:space="preserve"> SINT-KATELIJNE-WAVER - gedifferentieerde opcentiem</t>
  </si>
  <si>
    <t xml:space="preserve"> SINT-LAUREINS</t>
  </si>
  <si>
    <t xml:space="preserve"> SINT-LIEVENS-HOUTEM</t>
  </si>
  <si>
    <t xml:space="preserve"> SINT-NIKLAAS</t>
  </si>
  <si>
    <t xml:space="preserve"> SINT-PIETERS-LEEUW - gedifferentieerde opcentiem</t>
  </si>
  <si>
    <t xml:space="preserve"> SPIERE-HELKIJN</t>
  </si>
  <si>
    <t xml:space="preserve"> STABROEK</t>
  </si>
  <si>
    <t xml:space="preserve"> STADEN</t>
  </si>
  <si>
    <t xml:space="preserve"> STEKENE</t>
  </si>
  <si>
    <t xml:space="preserve"> TEMSE</t>
  </si>
  <si>
    <t xml:space="preserve"> TERNAT - gedifferentieerde opcentiem</t>
  </si>
  <si>
    <t xml:space="preserve"> TERVUREN</t>
  </si>
  <si>
    <t xml:space="preserve"> TESSENDERLO</t>
  </si>
  <si>
    <t>TESSENDERLO-HAM</t>
  </si>
  <si>
    <t xml:space="preserve"> TIELT</t>
  </si>
  <si>
    <t xml:space="preserve"> TIELT-WINGE</t>
  </si>
  <si>
    <t xml:space="preserve"> TIENEN</t>
  </si>
  <si>
    <t xml:space="preserve"> TONGEREN</t>
  </si>
  <si>
    <t>TONGEREN-BORGLOON</t>
  </si>
  <si>
    <t xml:space="preserve"> TORHOUT</t>
  </si>
  <si>
    <t xml:space="preserve"> TREMELO</t>
  </si>
  <si>
    <t xml:space="preserve"> TURNHOUT</t>
  </si>
  <si>
    <t xml:space="preserve"> VEURNE</t>
  </si>
  <si>
    <t xml:space="preserve"> VILVOORDE</t>
  </si>
  <si>
    <t xml:space="preserve"> VLETEREN</t>
  </si>
  <si>
    <t xml:space="preserve"> VOEREN</t>
  </si>
  <si>
    <t xml:space="preserve"> VORSELAAR</t>
  </si>
  <si>
    <t xml:space="preserve"> VOSSELAAR</t>
  </si>
  <si>
    <t xml:space="preserve"> WAARSCHOOT</t>
  </si>
  <si>
    <t xml:space="preserve"> WAASMUNSTER</t>
  </si>
  <si>
    <t xml:space="preserve"> WACHTEBEKE</t>
  </si>
  <si>
    <t xml:space="preserve"> WELLEN</t>
  </si>
  <si>
    <t xml:space="preserve"> WERVIK</t>
  </si>
  <si>
    <t xml:space="preserve"> WESTERLO</t>
  </si>
  <si>
    <t xml:space="preserve"> WETTEREN</t>
  </si>
  <si>
    <t xml:space="preserve"> WEZEMBEEK-OPPEM</t>
  </si>
  <si>
    <t xml:space="preserve"> WIELSBEKE</t>
  </si>
  <si>
    <t xml:space="preserve"> WINGENE</t>
  </si>
  <si>
    <t xml:space="preserve"> WORTEGEM-PETEGEM</t>
  </si>
  <si>
    <t xml:space="preserve"> WUUSTWEZEL</t>
  </si>
  <si>
    <t xml:space="preserve"> ZANDHOVEN</t>
  </si>
  <si>
    <t xml:space="preserve"> ZAVENTEM</t>
  </si>
  <si>
    <t xml:space="preserve"> ZEDELGEM</t>
  </si>
  <si>
    <t xml:space="preserve"> ZELZATE</t>
  </si>
  <si>
    <t xml:space="preserve"> ZEMST</t>
  </si>
  <si>
    <t xml:space="preserve"> ZINGEM</t>
  </si>
  <si>
    <t xml:space="preserve"> ZOERSEL</t>
  </si>
  <si>
    <t xml:space="preserve"> ZOMERGEM</t>
  </si>
  <si>
    <t xml:space="preserve"> ZONHOVEN</t>
  </si>
  <si>
    <t xml:space="preserve"> ZONNEBEKE</t>
  </si>
  <si>
    <t xml:space="preserve"> ZOTTEGEM</t>
  </si>
  <si>
    <t xml:space="preserve"> ZOUTLEEUW</t>
  </si>
  <si>
    <t xml:space="preserve"> ZUIENKERKE</t>
  </si>
  <si>
    <t xml:space="preserve"> ZULTE</t>
  </si>
  <si>
    <t xml:space="preserve"> ZUTENDAAL</t>
  </si>
  <si>
    <t xml:space="preserve"> ZWALM</t>
  </si>
  <si>
    <t xml:space="preserve"> ZWEVEGEM</t>
  </si>
  <si>
    <t>ZWIJNDRECHT - gedifferentieerde opcentiem</t>
  </si>
  <si>
    <t>GEMIDDELDE</t>
  </si>
  <si>
    <t>MINIMUM</t>
  </si>
  <si>
    <t>MAXIMUM</t>
  </si>
  <si>
    <t>Provincie</t>
  </si>
  <si>
    <t>Provincie Antwerpen</t>
  </si>
  <si>
    <t>Provincie Limburg</t>
  </si>
  <si>
    <t>Provincie Oost-Vlaanderen</t>
  </si>
  <si>
    <t>Provincie Vlaams-Brabant</t>
  </si>
  <si>
    <t>Provincie West-Vlaanderen</t>
  </si>
  <si>
    <t xml:space="preserve">(*) Op 1 januari 2019 fuseren in Vlaanderen 15 gemeenten tot 7 nieuwe fusiegemeenten. 13 van de 15 fuserende gemeenten krijgen een nieuwe gemeentenaam. 
Het gaat om volgende gemeenten:
•“Oudsbergen”: fusie van Meeuwen-Gruitrode en Opglabbeek
•“Pelt”: fusie van Neerpelt en Overpelt
•“Puurs-Sint-Amands”: fusie van Puurs en Sint-Amands
•“Aalter”: fusie van Aalter en Knesselare
•“Deinze”: fusie van Deinze en Nevele
•“Lievegem”: fusie van Lovendegem, Zomergem en Waarschoot
•“Kruisem”: fusie van Kruishoutem en Zingem
</t>
  </si>
  <si>
    <t>(**) Op 1 januari 2025 fuseerden 28 gemeenten tot 13 nieuwe fusiegemeenten.
Het gaat om volgende gemeenten:
• "Antwerpen": fusie van Antwerpen en Borsbeek
• "Wingene": fusie van Ruiselede en Wingene
• "Tielt": fusie van Meulebeke en Tielt
• "Lochristi": fusie van Lochristi en Wachtebeke
• "Lokeren": fusie van Lokeren en Moerbeke
• "Bilzen-Hoeselt": fusie van Bilzen en Hoeselt
• "Tongeren-Borgloon": fusie van Borgloon en Tongeren
• "Tessenderlo-Ham": fusie van Ham en Tessenderlo
• "Hasselt": fusie van Hasselt en Kortessem
• "Beveren-Kruibeke-Zwijndrecht": fusie van Beveren, Kruibeke en Zwijndrecht
• "Pajottegem": fusie van Galmaarden, Gooik en Herne
• "Merelbeke-Melle": fusie van Melle en Merelbeke
• "Nazareth-De Pinte": fusie van De Pinte en Nazareth</t>
  </si>
  <si>
    <t>2026</t>
  </si>
  <si>
    <t xml:space="preserve"> STEENOKKERZEEL - gedifferentierde opcentiem</t>
  </si>
  <si>
    <t xml:space="preserve"> WAREGEM - gedifferentieerde opcentiem</t>
  </si>
  <si>
    <t xml:space="preserve"> WEMMEL - gedifferentieerde opcentiem</t>
  </si>
  <si>
    <t xml:space="preserve"> WEVELGEM - gedifferentieerde opcentiem</t>
  </si>
  <si>
    <t xml:space="preserve"> WICHELEN - gedifferentierde opcentiem</t>
  </si>
  <si>
    <t xml:space="preserve"> WIJNEGEM - gedifferentieerde opcentiem</t>
  </si>
  <si>
    <t xml:space="preserve"> WILLEBROEK - gedifferentieerde opcentiem</t>
  </si>
  <si>
    <t xml:space="preserve"> WOMMELGEM - gedifferentieerde opcentiem</t>
  </si>
  <si>
    <t xml:space="preserve"> ZELE - gedifferentieerde opcentiem</t>
  </si>
  <si>
    <t>BEERSEL - gedifferentieerde opcentiem</t>
  </si>
  <si>
    <t>BEVEREN-KRUIBEKE-ZWIJNDRECHT - gedifferentieerde opcentiem</t>
  </si>
  <si>
    <t xml:space="preserve"> BOECHOUT - gedifferentieerde opcentiem</t>
  </si>
  <si>
    <t xml:space="preserve"> DENDERMONDE - gedifferentieerde opcentiem</t>
  </si>
  <si>
    <t xml:space="preserve"> HEUSDEN-ZOLDER - gedifferentieerde opcentiem</t>
  </si>
  <si>
    <t xml:space="preserve"> HOOGLEDE - gedifferentieerde opcentiem</t>
  </si>
  <si>
    <t xml:space="preserve"> KAPELLE-OP-DEN-BOS - gedifferentieerde opcentiem</t>
  </si>
  <si>
    <t xml:space="preserve"> KAPRIJKE - gedifferentieerde opcentiem</t>
  </si>
  <si>
    <t xml:space="preserve"> KONTICH - gedifferentieerde opcentiem</t>
  </si>
  <si>
    <t xml:space="preserve"> KRUISEM - gedifferentieerde opcentiem</t>
  </si>
  <si>
    <t xml:space="preserve"> LEUVEN - gedifferentieerde opcentiem</t>
  </si>
  <si>
    <t xml:space="preserve"> LIER - gedifferentieerde opcentiem</t>
  </si>
  <si>
    <t xml:space="preserve"> LINT - gedifferentieerde opcentiem</t>
  </si>
  <si>
    <t xml:space="preserve"> MACHELEN - gedifferentieerde opcentiem</t>
  </si>
  <si>
    <t xml:space="preserve"> MECHELEN - gedifferentieerde opcentiem</t>
  </si>
  <si>
    <t xml:space="preserve"> OLEN - gedifferentieerde opcentiem</t>
  </si>
  <si>
    <t xml:space="preserve"> PELT - gedifferentieerde opcentiem</t>
  </si>
  <si>
    <t xml:space="preserve"> PUTTE - gedifferentieerde opcentiem</t>
  </si>
  <si>
    <t xml:space="preserve"> PUURS-SINT-AMANDS - gedifferentieerde opcentiem</t>
  </si>
  <si>
    <t xml:space="preserve"> RANST - gedifferentieerde opcentiem</t>
  </si>
  <si>
    <t xml:space="preserve"> SINT-MARTENS-LATEM - gedifferentieerde opcentiem</t>
  </si>
  <si>
    <t xml:space="preserve"> SINT-MARTENS-LATEM- gedifferentieerde opcentiem</t>
  </si>
  <si>
    <t xml:space="preserve"> SINT-TRUIDEN - gedifferentieerde opcentiem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</si>
</sst>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0"/>
      <name val="Courier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</font>
    <font>
      <b/>
      <sz val="11"/>
      <name val="Calibri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4" borderId="0" applyNumberFormat="0" applyBorder="0" applyAlignment="0" applyProtection="0"/>
    <xf numFmtId="0" fontId="7" fillId="7" borderId="1" applyNumberFormat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22" borderId="0" applyNumberFormat="0" applyBorder="0" applyAlignment="0" applyProtection="0"/>
    <xf numFmtId="0" fontId="1" fillId="23" borderId="7" applyNumberFormat="0" applyFont="0" applyAlignment="0" applyProtection="0"/>
    <xf numFmtId="0" fontId="12" fillId="3" borderId="0" applyNumberFormat="0" applyBorder="0" applyAlignment="0" applyProtection="0"/>
    <xf numFmtId="0" fontId="19" fillId="0" borderId="0"/>
    <xf numFmtId="0" fontId="19" fillId="0" borderId="0"/>
    <xf numFmtId="0" fontId="13" fillId="0" borderId="0"/>
    <xf numFmtId="0" fontId="13" fillId="0" borderId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0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0" borderId="0"/>
    <xf numFmtId="0" fontId="24" fillId="0" borderId="0" applyNumberFormat="0" applyFill="0" applyBorder="0" applyAlignment="0" applyProtection="0"/>
  </cellStyleXfs>
  <cellXfs count="89">
    <xf numFmtId="0" fontId="0" fillId="0" borderId="0" xfId="0"/>
    <xf numFmtId="0" fontId="20" fillId="0" borderId="0" xfId="0" applyFont="1"/>
    <xf numFmtId="0" fontId="20" fillId="0" borderId="0" xfId="40" quotePrefix="1" applyFont="1" applyAlignment="1">
      <alignment horizontal="left"/>
    </xf>
    <xf numFmtId="0" fontId="20" fillId="0" borderId="0" xfId="38" applyFont="1"/>
    <xf numFmtId="0" fontId="20" fillId="0" borderId="0" xfId="0" applyFont="1" applyAlignment="1">
      <alignment wrapText="1"/>
    </xf>
    <xf numFmtId="0" fontId="20" fillId="0" borderId="0" xfId="46" applyFont="1"/>
    <xf numFmtId="0" fontId="20" fillId="0" borderId="0" xfId="40" applyFont="1" applyAlignment="1">
      <alignment horizontal="left"/>
    </xf>
    <xf numFmtId="0" fontId="20" fillId="0" borderId="0" xfId="40" applyFont="1"/>
    <xf numFmtId="0" fontId="21" fillId="0" borderId="0" xfId="0" applyFont="1"/>
    <xf numFmtId="0" fontId="21" fillId="0" borderId="0" xfId="46" applyFont="1"/>
    <xf numFmtId="0" fontId="20" fillId="0" borderId="0" xfId="40" applyFont="1" applyAlignment="1">
      <alignment horizontal="right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horizontal="right"/>
    </xf>
    <xf numFmtId="0" fontId="20" fillId="0" borderId="0" xfId="46" applyFont="1" applyAlignment="1">
      <alignment horizontal="right"/>
    </xf>
    <xf numFmtId="0" fontId="21" fillId="24" borderId="0" xfId="40" applyFont="1" applyFill="1" applyAlignment="1">
      <alignment horizontal="center"/>
    </xf>
    <xf numFmtId="0" fontId="21" fillId="24" borderId="0" xfId="40" applyFont="1" applyFill="1"/>
    <xf numFmtId="0" fontId="20" fillId="0" borderId="0" xfId="38" applyFont="1" applyAlignment="1">
      <alignment horizontal="right"/>
    </xf>
    <xf numFmtId="4" fontId="20" fillId="0" borderId="0" xfId="46" applyNumberFormat="1" applyFont="1" applyAlignment="1">
      <alignment horizontal="right"/>
    </xf>
    <xf numFmtId="4" fontId="20" fillId="0" borderId="0" xfId="0" applyNumberFormat="1" applyFont="1" applyAlignment="1">
      <alignment horizontal="right"/>
    </xf>
    <xf numFmtId="4" fontId="20" fillId="0" borderId="0" xfId="40" applyNumberFormat="1" applyFont="1" applyAlignment="1">
      <alignment horizontal="right"/>
    </xf>
    <xf numFmtId="4" fontId="23" fillId="0" borderId="0" xfId="0" applyNumberFormat="1" applyFont="1" applyAlignment="1">
      <alignment horizontal="right" wrapText="1"/>
    </xf>
    <xf numFmtId="4" fontId="22" fillId="0" borderId="0" xfId="0" applyNumberFormat="1" applyFont="1" applyAlignment="1">
      <alignment horizontal="right"/>
    </xf>
    <xf numFmtId="4" fontId="21" fillId="0" borderId="0" xfId="46" applyNumberFormat="1" applyFont="1" applyAlignment="1">
      <alignment horizontal="right"/>
    </xf>
    <xf numFmtId="49" fontId="21" fillId="24" borderId="0" xfId="4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21" fillId="0" borderId="0" xfId="0" applyNumberFormat="1" applyFont="1" applyAlignment="1">
      <alignment horizontal="right"/>
    </xf>
    <xf numFmtId="0" fontId="20" fillId="0" borderId="10" xfId="40" quotePrefix="1" applyFont="1" applyBorder="1" applyAlignment="1">
      <alignment horizontal="left"/>
    </xf>
    <xf numFmtId="0" fontId="20" fillId="0" borderId="11" xfId="40" applyFont="1" applyBorder="1"/>
    <xf numFmtId="4" fontId="20" fillId="0" borderId="11" xfId="40" applyNumberFormat="1" applyFont="1" applyBorder="1"/>
    <xf numFmtId="4" fontId="20" fillId="0" borderId="12" xfId="40" applyNumberFormat="1" applyFont="1" applyBorder="1"/>
    <xf numFmtId="0" fontId="20" fillId="0" borderId="13" xfId="40" quotePrefix="1" applyFont="1" applyBorder="1" applyAlignment="1">
      <alignment horizontal="left"/>
    </xf>
    <xf numFmtId="4" fontId="20" fillId="0" borderId="0" xfId="40" applyNumberFormat="1" applyFont="1"/>
    <xf numFmtId="4" fontId="20" fillId="0" borderId="14" xfId="40" applyNumberFormat="1" applyFont="1" applyBorder="1"/>
    <xf numFmtId="0" fontId="20" fillId="0" borderId="15" xfId="40" quotePrefix="1" applyFont="1" applyBorder="1" applyAlignment="1">
      <alignment horizontal="left"/>
    </xf>
    <xf numFmtId="0" fontId="20" fillId="0" borderId="16" xfId="40" applyFont="1" applyBorder="1"/>
    <xf numFmtId="4" fontId="20" fillId="0" borderId="16" xfId="40" applyNumberFormat="1" applyFont="1" applyBorder="1"/>
    <xf numFmtId="4" fontId="20" fillId="0" borderId="17" xfId="40" applyNumberFormat="1" applyFont="1" applyBorder="1"/>
    <xf numFmtId="0" fontId="20" fillId="0" borderId="12" xfId="40" applyFont="1" applyBorder="1"/>
    <xf numFmtId="0" fontId="20" fillId="0" borderId="14" xfId="40" applyFont="1" applyBorder="1"/>
    <xf numFmtId="0" fontId="20" fillId="0" borderId="17" xfId="40" applyFont="1" applyBorder="1"/>
    <xf numFmtId="0" fontId="20" fillId="0" borderId="19" xfId="46" applyFont="1" applyBorder="1"/>
    <xf numFmtId="0" fontId="21" fillId="0" borderId="19" xfId="46" applyFont="1" applyBorder="1"/>
    <xf numFmtId="0" fontId="20" fillId="0" borderId="19" xfId="46" applyFont="1" applyBorder="1" applyAlignment="1">
      <alignment horizontal="right"/>
    </xf>
    <xf numFmtId="0" fontId="20" fillId="0" borderId="19" xfId="40" applyFont="1" applyBorder="1" applyAlignment="1">
      <alignment horizontal="right"/>
    </xf>
    <xf numFmtId="0" fontId="20" fillId="24" borderId="20" xfId="0" applyFont="1" applyFill="1" applyBorder="1" applyAlignment="1">
      <alignment horizontal="left" vertical="top"/>
    </xf>
    <xf numFmtId="0" fontId="21" fillId="24" borderId="21" xfId="0" applyFont="1" applyFill="1" applyBorder="1" applyAlignment="1">
      <alignment horizontal="left" vertical="top"/>
    </xf>
    <xf numFmtId="4" fontId="20" fillId="24" borderId="20" xfId="40" applyNumberFormat="1" applyFont="1" applyFill="1" applyBorder="1" applyAlignment="1">
      <alignment horizontal="left" vertical="top"/>
    </xf>
    <xf numFmtId="4" fontId="21" fillId="24" borderId="20" xfId="0" applyNumberFormat="1" applyFont="1" applyFill="1" applyBorder="1" applyAlignment="1">
      <alignment horizontal="left" vertical="top"/>
    </xf>
    <xf numFmtId="0" fontId="24" fillId="0" borderId="0" xfId="47" quotePrefix="1" applyNumberFormat="1" applyAlignment="1">
      <alignment horizontal="left"/>
    </xf>
    <xf numFmtId="0" fontId="22" fillId="24" borderId="20" xfId="40" applyFont="1" applyFill="1" applyBorder="1" applyAlignment="1">
      <alignment vertical="top"/>
    </xf>
    <xf numFmtId="0" fontId="22" fillId="0" borderId="0" xfId="40" applyFont="1"/>
    <xf numFmtId="0" fontId="22" fillId="0" borderId="0" xfId="0" applyFont="1" applyAlignment="1">
      <alignment wrapText="1"/>
    </xf>
    <xf numFmtId="0" fontId="22" fillId="0" borderId="0" xfId="0" applyFont="1"/>
    <xf numFmtId="0" fontId="25" fillId="0" borderId="19" xfId="46" applyFont="1" applyBorder="1"/>
    <xf numFmtId="4" fontId="22" fillId="0" borderId="0" xfId="46" applyNumberFormat="1" applyFont="1" applyAlignment="1">
      <alignment horizontal="right"/>
    </xf>
    <xf numFmtId="4" fontId="25" fillId="0" borderId="0" xfId="46" applyNumberFormat="1" applyFont="1" applyAlignment="1">
      <alignment horizontal="right"/>
    </xf>
    <xf numFmtId="0" fontId="24" fillId="0" borderId="0" xfId="47" quotePrefix="1" applyFill="1" applyAlignment="1">
      <alignment horizontal="left"/>
    </xf>
    <xf numFmtId="0" fontId="25" fillId="0" borderId="0" xfId="46" applyFont="1"/>
    <xf numFmtId="4" fontId="22" fillId="0" borderId="0" xfId="0" applyNumberFormat="1" applyFont="1"/>
    <xf numFmtId="4" fontId="22" fillId="25" borderId="0" xfId="0" applyNumberFormat="1" applyFont="1" applyFill="1"/>
    <xf numFmtId="4" fontId="22" fillId="26" borderId="0" xfId="0" applyNumberFormat="1" applyFont="1" applyFill="1"/>
    <xf numFmtId="0" fontId="25" fillId="0" borderId="18" xfId="46" applyFont="1" applyBorder="1"/>
    <xf numFmtId="4" fontId="22" fillId="27" borderId="0" xfId="0" applyNumberFormat="1" applyFont="1" applyFill="1"/>
    <xf numFmtId="4" fontId="22" fillId="0" borderId="0" xfId="0" quotePrefix="1" applyNumberFormat="1" applyFont="1" applyAlignment="1">
      <alignment horizontal="right"/>
    </xf>
    <xf numFmtId="0" fontId="20" fillId="24" borderId="20" xfId="40" applyFont="1" applyFill="1" applyBorder="1" applyAlignment="1">
      <alignment vertical="top"/>
    </xf>
    <xf numFmtId="4" fontId="20" fillId="0" borderId="0" xfId="0" applyNumberFormat="1" applyFont="1"/>
    <xf numFmtId="0" fontId="22" fillId="0" borderId="0" xfId="40" quotePrefix="1" applyFont="1" applyAlignment="1">
      <alignment horizontal="left"/>
    </xf>
    <xf numFmtId="4" fontId="20" fillId="25" borderId="0" xfId="0" applyNumberFormat="1" applyFont="1" applyFill="1"/>
    <xf numFmtId="0" fontId="27" fillId="0" borderId="0" xfId="40" applyFont="1" applyFill="1" applyAlignment="1"/>
    <xf numFmtId="0" fontId="27" fillId="0" borderId="0" xfId="0" applyFont="1" applyFill="1" applyAlignment="1">
      <alignment wrapText="1"/>
    </xf>
    <xf numFmtId="0" fontId="27" fillId="0" borderId="0" xfId="0" applyFont="1" applyFill="1" applyAlignment="1"/>
    <xf numFmtId="0" fontId="28" fillId="0" borderId="19" xfId="46" applyFont="1" applyFill="1" applyBorder="1" applyAlignment="1"/>
    <xf numFmtId="4" fontId="27" fillId="0" borderId="0" xfId="46" applyNumberFormat="1" applyFont="1" applyFill="1" applyAlignment="1">
      <alignment horizontal="right"/>
    </xf>
    <xf numFmtId="4" fontId="28" fillId="0" borderId="0" xfId="46" applyNumberFormat="1" applyFont="1" applyFill="1" applyAlignment="1">
      <alignment horizontal="right"/>
    </xf>
    <xf numFmtId="4" fontId="27" fillId="0" borderId="0" xfId="0" applyNumberFormat="1" applyFont="1" applyAlignment="1">
      <alignment horizontal="right"/>
    </xf>
    <xf numFmtId="4" fontId="27" fillId="0" borderId="0" xfId="0" applyNumberFormat="1" applyFont="1"/>
    <xf numFmtId="0" fontId="24" fillId="0" borderId="0" xfId="47" quotePrefix="1" applyAlignment="1">
      <alignment horizontal="left"/>
    </xf>
    <xf numFmtId="0" fontId="27" fillId="0" borderId="0" xfId="46" applyFont="1" applyFill="1" applyAlignment="1">
      <alignment wrapText="1"/>
    </xf>
    <xf numFmtId="0" fontId="27" fillId="0" borderId="0" xfId="46" applyFont="1" applyFill="1" applyAlignment="1"/>
    <xf numFmtId="4" fontId="22" fillId="0" borderId="0" xfId="0" applyNumberFormat="1" applyFont="1" applyFill="1"/>
    <xf numFmtId="0" fontId="29" fillId="0" borderId="0" xfId="40" applyFont="1" applyFill="1" applyAlignment="1"/>
    <xf numFmtId="0" fontId="29" fillId="0" borderId="0" xfId="0" applyFont="1" applyFill="1" applyAlignment="1">
      <alignment wrapText="1"/>
    </xf>
    <xf numFmtId="0" fontId="29" fillId="0" borderId="0" xfId="0" applyFont="1" applyFill="1" applyAlignment="1"/>
    <xf numFmtId="0" fontId="30" fillId="0" borderId="19" xfId="46" applyFont="1" applyFill="1" applyBorder="1" applyAlignment="1"/>
    <xf numFmtId="4" fontId="29" fillId="0" borderId="0" xfId="46" applyNumberFormat="1" applyFont="1" applyFill="1" applyAlignment="1">
      <alignment horizontal="right"/>
    </xf>
    <xf numFmtId="4" fontId="30" fillId="0" borderId="0" xfId="46" applyNumberFormat="1" applyFont="1" applyFill="1" applyAlignment="1">
      <alignment horizontal="right"/>
    </xf>
    <xf numFmtId="4" fontId="29" fillId="0" borderId="0" xfId="0" applyNumberFormat="1" applyFont="1" applyAlignment="1">
      <alignment horizontal="right"/>
    </xf>
    <xf numFmtId="4" fontId="29" fillId="0" borderId="0" xfId="0" applyNumberFormat="1" applyFont="1"/>
    <xf numFmtId="0" fontId="26" fillId="0" borderId="0" xfId="0" applyFont="1" applyAlignment="1">
      <alignment horizontal="left" wrapText="1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erekening" xfId="25" builtinId="22" customBuiltin="1"/>
    <cellStyle name="Controlecel" xfId="26" builtinId="23" customBuiltin="1"/>
    <cellStyle name="Gekoppelde cel" xfId="27" builtinId="24" customBuiltin="1"/>
    <cellStyle name="Goed" xfId="28" builtinId="26" customBuiltin="1"/>
    <cellStyle name="Hyperlink" xfId="47" builtinId="8"/>
    <cellStyle name="Invoer" xfId="29" builtinId="20" customBuiltin="1"/>
    <cellStyle name="Kop 1" xfId="30" builtinId="16" customBuiltin="1"/>
    <cellStyle name="Kop 2" xfId="31" builtinId="17" customBuiltin="1"/>
    <cellStyle name="Kop 3" xfId="32" builtinId="18" customBuiltin="1"/>
    <cellStyle name="Kop 4" xfId="33" builtinId="19" customBuiltin="1"/>
    <cellStyle name="Neutraal" xfId="34" builtinId="28" customBuiltin="1"/>
    <cellStyle name="Notitie" xfId="35" builtinId="10" customBuiltin="1"/>
    <cellStyle name="Ongeldig" xfId="36" builtinId="27" customBuiltin="1"/>
    <cellStyle name="Standaard" xfId="0" builtinId="0"/>
    <cellStyle name="Standaard 2" xfId="37" xr:uid="{00000000-0005-0000-0000-000025000000}"/>
    <cellStyle name="Standaard 3" xfId="38" xr:uid="{00000000-0005-0000-0000-000026000000}"/>
    <cellStyle name="Standaard 4" xfId="39" xr:uid="{00000000-0005-0000-0000-000027000000}"/>
    <cellStyle name="Standaard 7" xfId="46" xr:uid="{00000000-0005-0000-0000-000028000000}"/>
    <cellStyle name="Standaard_Blad1" xfId="40" xr:uid="{00000000-0005-0000-0000-000029000000}"/>
    <cellStyle name="Titel" xfId="41" builtinId="15" customBuiltin="1"/>
    <cellStyle name="Totaal" xfId="42" builtinId="25" customBuiltin="1"/>
    <cellStyle name="Uitvoer" xfId="43" builtinId="21" customBuiltin="1"/>
    <cellStyle name="Verklarende tekst" xfId="44" builtinId="53" customBuiltin="1"/>
    <cellStyle name="Waarschuwingstekst" xfId="45" builtinId="11" customBuiltin="1"/>
  </cellStyles>
  <dxfs count="59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alignment horizontal="righ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2" displayName="Tabel2" ref="A1:P419" totalsRowShown="0" headerRowDxfId="58" dataDxfId="56" headerRowBorderDxfId="57" headerRowCellStyle="Standaard_Blad1">
  <autoFilter ref="A1:P419" xr:uid="{00000000-0009-0000-0100-000002000000}"/>
  <sortState xmlns:xlrd2="http://schemas.microsoft.com/office/spreadsheetml/2017/richdata2" ref="A2:L419">
    <sortCondition ref="A1:A419"/>
  </sortState>
  <tableColumns count="16">
    <tableColumn id="1" xr3:uid="{00000000-0010-0000-0000-000001000000}" name="Gemeente" dataDxfId="55" dataCellStyle="Standaard_Blad1"/>
    <tableColumn id="2" xr3:uid="{00000000-0010-0000-0000-000002000000}" name="2012" dataDxfId="54" dataCellStyle="Standaard_Blad1"/>
    <tableColumn id="3" xr3:uid="{00000000-0010-0000-0000-000003000000}" name="2013" dataDxfId="53" dataCellStyle="Standaard_Blad1"/>
    <tableColumn id="4" xr3:uid="{00000000-0010-0000-0000-000004000000}" name="2014" dataDxfId="52" dataCellStyle="Standaard_Blad1"/>
    <tableColumn id="5" xr3:uid="{00000000-0010-0000-0000-000005000000}" name="2015" dataDxfId="51"/>
    <tableColumn id="6" xr3:uid="{00000000-0010-0000-0000-000006000000}" name="2016" dataDxfId="50"/>
    <tableColumn id="7" xr3:uid="{00000000-0010-0000-0000-000007000000}" name="2017" dataDxfId="49" dataCellStyle="Standaard 7"/>
    <tableColumn id="8" xr3:uid="{00000000-0010-0000-0000-000008000000}" name="2018" dataDxfId="48" dataCellStyle="Standaard 7"/>
    <tableColumn id="9" xr3:uid="{00000000-0010-0000-0000-000009000000}" name="2019" dataDxfId="47" dataCellStyle="Standaard 7"/>
    <tableColumn id="10" xr3:uid="{5172D45F-F72E-41D6-9F96-D48B14376876}" name="2020" dataDxfId="46"/>
    <tableColumn id="11" xr3:uid="{508F6C3F-0352-4101-A52B-7FFAE10FF3DE}" name="2021" dataDxfId="45"/>
    <tableColumn id="17" xr3:uid="{CAD15C72-40AA-4693-A906-B04FBB674A35}" name="2022" dataDxfId="44"/>
    <tableColumn id="12" xr3:uid="{283388AC-0B19-4FA9-869F-D896568F8E9C}" name="2023" dataDxfId="43"/>
    <tableColumn id="13" xr3:uid="{60024D16-46F1-4D68-8E26-CAD65CE12784}" name="2024" dataDxfId="42"/>
    <tableColumn id="14" xr3:uid="{749245CB-1EF0-481D-BF9D-C6A80D2BB918}" name="2025" dataDxfId="41"/>
    <tableColumn id="15" xr3:uid="{3A480BD7-D516-468E-B822-798F1B845D56}" name="2026" dataDxfId="4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EE607-3376-44DD-9CAC-BBE655D51711}" name="Tabel1" displayName="Tabel1" ref="A425:P430" totalsRowShown="0" headerRowDxfId="39" headerRowCellStyle="Standaard_Blad1">
  <autoFilter ref="A425:P430" xr:uid="{DC7132CC-C6B9-4334-B66D-6B9370848E4D}"/>
  <tableColumns count="16">
    <tableColumn id="1" xr3:uid="{B1DF8965-BE4A-4DE8-BFDC-622A61883E4A}" name="Provincie" dataDxfId="38" dataCellStyle="Standaard_Blad1"/>
    <tableColumn id="2" xr3:uid="{08181349-67EC-4FFD-8063-333F6A4B0234}" name="2012" dataDxfId="37" dataCellStyle="Standaard_Blad1"/>
    <tableColumn id="3" xr3:uid="{11665964-84D6-4813-900C-C111FF616790}" name="2013" dataDxfId="36" dataCellStyle="Standaard_Blad1"/>
    <tableColumn id="4" xr3:uid="{F87013B8-588B-4B59-A70E-B7AF9E476408}" name="2014" dataDxfId="35" dataCellStyle="Standaard_Blad1"/>
    <tableColumn id="5" xr3:uid="{DC00E010-E75F-4516-8876-F8A234335307}" name="2015" dataDxfId="34"/>
    <tableColumn id="6" xr3:uid="{FD12EA1D-B978-47CE-96D4-33590CB71895}" name="2016" dataDxfId="33"/>
    <tableColumn id="7" xr3:uid="{D1B1C4A7-ACD7-4029-A815-4FB05A1D89B1}" name="2017" dataDxfId="32" dataCellStyle="Standaard 7"/>
    <tableColumn id="8" xr3:uid="{E7ABE5D2-1321-4274-8414-4A399350751F}" name="2018" dataDxfId="31" dataCellStyle="Standaard 7"/>
    <tableColumn id="9" xr3:uid="{19787A34-D54F-47D8-8D56-DD869A619736}" name="2019" dataDxfId="30"/>
    <tableColumn id="10" xr3:uid="{705FCFFA-8439-48A1-8D29-6BF2893F50CD}" name="2020" dataDxfId="29"/>
    <tableColumn id="11" xr3:uid="{CE284EFF-33E2-4DE3-9A95-961BA595E6C9}" name="2021" dataDxfId="28"/>
    <tableColumn id="12" xr3:uid="{CBF71E4F-5ECB-424B-87F5-47E00A1E9D3C}" name="2022" dataDxfId="27"/>
    <tableColumn id="13" xr3:uid="{2BFA78F5-41E8-41EC-9562-FA0B0A8AE5D7}" name="2023" dataDxfId="26"/>
    <tableColumn id="14" xr3:uid="{E067C278-25B1-4743-AB0A-F4763029591F}" name="2024" dataDxfId="25"/>
    <tableColumn id="15" xr3:uid="{CB1C73FD-6DA9-45B0-8EFF-E7C666970692}" name="2025" dataDxfId="24"/>
    <tableColumn id="16" xr3:uid="{84A01892-F194-4EEE-ABB3-5D861971B606}" name="2026" dataDxfId="2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21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42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63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84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6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107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1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32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37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53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58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74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79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02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23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28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5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90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95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22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27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43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48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64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69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13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18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34" Type="http://schemas.openxmlformats.org/officeDocument/2006/relationships/table" Target="../tables/table1.xml"/><Relationship Id="rId80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85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2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17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33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38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59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03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08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24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29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54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70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75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91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96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6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23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28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49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14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19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44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60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65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81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86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30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35" Type="http://schemas.openxmlformats.org/officeDocument/2006/relationships/table" Target="../tables/table2.xml"/><Relationship Id="rId13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18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39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09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34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50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55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76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97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04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20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25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7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71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92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2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29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24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40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45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66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87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10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15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31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61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82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9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14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30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35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56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77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00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05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26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8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51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72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93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98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21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3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25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46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67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16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20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41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62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83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88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11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32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15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36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57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06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27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0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31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52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73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78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94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99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01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22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4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9" Type="http://schemas.openxmlformats.org/officeDocument/2006/relationships/hyperlink" Target="https://www.vlaanderen.be/uw-overheid/werking-en-structuur/hoe-werkt-de-vlaamse-overheid/belastingen-en-begroting/vlaamse-belastingen/onroerende-voorheffing/differentiering-van-gemeentelijke-opcentiemen-op-de-onroerende-voorheffing" TargetMode="External"/><Relationship Id="rId26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47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68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89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12" Type="http://schemas.openxmlformats.org/officeDocument/2006/relationships/hyperlink" Target="https://www.vlaanderen.be/belastingen-en-begroting/vlaamse-belastingen/onroerende-voorheffing/differentiering-van-gemeentelijke-opcentiemen-op-de-onroerende-voorheffing" TargetMode="External"/><Relationship Id="rId133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2"/>
  <sheetViews>
    <sheetView tabSelected="1" zoomScale="154" zoomScaleNormal="154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9" sqref="R9"/>
    </sheetView>
  </sheetViews>
  <sheetFormatPr defaultColWidth="9.109375" defaultRowHeight="14.4" x14ac:dyDescent="0.3"/>
  <cols>
    <col min="1" max="1" width="45.109375" style="1" bestFit="1" customWidth="1"/>
    <col min="2" max="2" width="7.88671875" style="1" customWidth="1"/>
    <col min="3" max="6" width="8.5546875" style="1" customWidth="1"/>
    <col min="7" max="7" width="8.5546875" style="8" customWidth="1"/>
    <col min="8" max="8" width="8.5546875" style="18" customWidth="1"/>
    <col min="9" max="9" width="8.5546875" style="25" customWidth="1"/>
    <col min="10" max="10" width="8.5546875" style="24" customWidth="1"/>
    <col min="11" max="12" width="9.109375" style="1" customWidth="1"/>
    <col min="13" max="13" width="10.44140625" style="1" customWidth="1"/>
    <col min="14" max="14" width="9.109375" style="1" customWidth="1"/>
    <col min="15" max="15" width="9.109375" style="1"/>
    <col min="16" max="16" width="12.6640625" style="1" bestFit="1" customWidth="1"/>
    <col min="17" max="16384" width="9.109375" style="1"/>
  </cols>
  <sheetData>
    <row r="1" spans="1:16" ht="15.6" customHeight="1" x14ac:dyDescent="0.3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5" t="s">
        <v>6</v>
      </c>
      <c r="H1" s="46" t="s">
        <v>7</v>
      </c>
      <c r="I1" s="47" t="s">
        <v>8</v>
      </c>
      <c r="J1" s="47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64" t="s">
        <v>14</v>
      </c>
      <c r="P1" s="64" t="s">
        <v>324</v>
      </c>
    </row>
    <row r="2" spans="1:16" x14ac:dyDescent="0.3">
      <c r="A2" s="2" t="s">
        <v>15</v>
      </c>
      <c r="B2" s="1">
        <v>1500</v>
      </c>
      <c r="C2" s="3">
        <v>1500</v>
      </c>
      <c r="D2" s="3">
        <v>1500</v>
      </c>
      <c r="E2" s="4">
        <v>1500</v>
      </c>
      <c r="F2" s="1">
        <v>1500</v>
      </c>
      <c r="G2" s="40">
        <v>1500</v>
      </c>
      <c r="H2" s="18">
        <v>944</v>
      </c>
      <c r="I2" s="20">
        <v>944</v>
      </c>
      <c r="J2" s="18">
        <v>944</v>
      </c>
      <c r="K2" s="18">
        <v>944</v>
      </c>
      <c r="L2" s="58">
        <v>944</v>
      </c>
      <c r="M2" s="58">
        <v>944</v>
      </c>
      <c r="N2" s="58">
        <v>944</v>
      </c>
      <c r="O2" s="65">
        <v>944</v>
      </c>
      <c r="P2" s="65">
        <v>944</v>
      </c>
    </row>
    <row r="3" spans="1:16" x14ac:dyDescent="0.3">
      <c r="A3" s="2" t="s">
        <v>16</v>
      </c>
      <c r="B3" s="1">
        <v>1400</v>
      </c>
      <c r="C3" s="3">
        <v>1400</v>
      </c>
      <c r="D3" s="3">
        <v>1400</v>
      </c>
      <c r="E3" s="4">
        <v>1400</v>
      </c>
      <c r="F3" s="1">
        <v>1400</v>
      </c>
      <c r="G3" s="40">
        <v>1400</v>
      </c>
      <c r="H3" s="18">
        <v>882</v>
      </c>
      <c r="I3" s="20">
        <v>882</v>
      </c>
      <c r="J3" s="18">
        <v>900</v>
      </c>
      <c r="K3" s="18">
        <v>900</v>
      </c>
      <c r="L3" s="58">
        <v>900</v>
      </c>
      <c r="M3" s="58">
        <v>900</v>
      </c>
      <c r="N3" s="58">
        <v>900</v>
      </c>
      <c r="O3" s="65">
        <v>900</v>
      </c>
      <c r="P3" s="65">
        <v>975</v>
      </c>
    </row>
    <row r="4" spans="1:16" x14ac:dyDescent="0.3">
      <c r="A4" s="2" t="s">
        <v>17</v>
      </c>
      <c r="B4" s="1">
        <v>1500</v>
      </c>
      <c r="C4" s="3">
        <v>1500</v>
      </c>
      <c r="D4" s="3">
        <v>1500</v>
      </c>
      <c r="E4" s="4">
        <v>1500</v>
      </c>
      <c r="F4" s="1">
        <v>1500</v>
      </c>
      <c r="G4" s="40">
        <v>1500</v>
      </c>
      <c r="H4" s="18">
        <v>944.58</v>
      </c>
      <c r="I4" s="20">
        <v>944.58</v>
      </c>
      <c r="J4" s="18">
        <v>944.58</v>
      </c>
      <c r="K4" s="18">
        <v>944.58</v>
      </c>
      <c r="L4" s="58">
        <v>944.58</v>
      </c>
      <c r="M4" s="58">
        <v>944.58</v>
      </c>
      <c r="N4" s="58">
        <v>944.58</v>
      </c>
      <c r="O4" s="65">
        <v>944.58</v>
      </c>
      <c r="P4" s="65">
        <v>944.58</v>
      </c>
    </row>
    <row r="5" spans="1:16" x14ac:dyDescent="0.3">
      <c r="A5" s="2" t="s">
        <v>18</v>
      </c>
      <c r="B5" s="1">
        <v>700</v>
      </c>
      <c r="C5" s="3">
        <v>800</v>
      </c>
      <c r="D5" s="3">
        <v>800</v>
      </c>
      <c r="E5" s="4">
        <v>800</v>
      </c>
      <c r="F5" s="1">
        <v>800</v>
      </c>
      <c r="G5" s="40">
        <v>800</v>
      </c>
      <c r="H5" s="18">
        <v>504</v>
      </c>
      <c r="I5" s="20">
        <v>504</v>
      </c>
      <c r="J5" s="18">
        <v>680</v>
      </c>
      <c r="K5" s="18">
        <v>680</v>
      </c>
      <c r="L5" s="58">
        <v>680</v>
      </c>
      <c r="M5" s="58">
        <v>680</v>
      </c>
      <c r="N5" s="58">
        <v>680</v>
      </c>
      <c r="O5" s="65">
        <v>680</v>
      </c>
      <c r="P5" s="65">
        <v>795</v>
      </c>
    </row>
    <row r="6" spans="1:16" x14ac:dyDescent="0.3">
      <c r="A6" s="2" t="s">
        <v>19</v>
      </c>
      <c r="B6" s="1">
        <v>1250</v>
      </c>
      <c r="C6" s="3">
        <v>1250</v>
      </c>
      <c r="D6" s="3">
        <v>1250</v>
      </c>
      <c r="E6" s="4">
        <v>1250</v>
      </c>
      <c r="F6" s="1">
        <v>1250</v>
      </c>
      <c r="G6" s="40">
        <v>1250</v>
      </c>
      <c r="H6" s="18">
        <v>785</v>
      </c>
      <c r="I6" s="20">
        <v>785</v>
      </c>
      <c r="J6" s="18">
        <v>785</v>
      </c>
      <c r="K6" s="18">
        <v>785</v>
      </c>
      <c r="L6" s="58">
        <v>785</v>
      </c>
      <c r="M6" s="58">
        <v>785</v>
      </c>
      <c r="N6" s="58">
        <v>785</v>
      </c>
      <c r="O6" s="65">
        <v>785</v>
      </c>
      <c r="P6" s="65">
        <v>785</v>
      </c>
    </row>
    <row r="7" spans="1:16" x14ac:dyDescent="0.3">
      <c r="A7" s="2" t="s">
        <v>20</v>
      </c>
      <c r="B7" s="1">
        <v>1350</v>
      </c>
      <c r="C7" s="3">
        <v>1350</v>
      </c>
      <c r="D7" s="3">
        <v>1350</v>
      </c>
      <c r="E7" s="4">
        <v>1350</v>
      </c>
      <c r="F7" s="1">
        <v>1350</v>
      </c>
      <c r="G7" s="40">
        <v>1350</v>
      </c>
      <c r="H7" s="18">
        <v>850</v>
      </c>
      <c r="I7" s="20">
        <v>850</v>
      </c>
      <c r="J7" s="18">
        <v>850</v>
      </c>
      <c r="K7" s="18">
        <v>850</v>
      </c>
      <c r="L7" s="58">
        <v>850</v>
      </c>
      <c r="M7" s="58">
        <v>850</v>
      </c>
      <c r="N7" s="58">
        <v>850</v>
      </c>
      <c r="O7" s="65">
        <v>850</v>
      </c>
      <c r="P7" s="65">
        <v>925</v>
      </c>
    </row>
    <row r="8" spans="1:16" x14ac:dyDescent="0.3">
      <c r="A8" s="2" t="s">
        <v>21</v>
      </c>
      <c r="B8" s="1">
        <v>2250</v>
      </c>
      <c r="C8" s="3">
        <v>2250</v>
      </c>
      <c r="D8" s="3">
        <v>2250</v>
      </c>
      <c r="E8" s="4">
        <v>2250</v>
      </c>
      <c r="F8" s="1">
        <v>2250</v>
      </c>
      <c r="G8" s="40">
        <v>2250</v>
      </c>
      <c r="H8" s="18">
        <v>1417</v>
      </c>
      <c r="I8" s="20">
        <v>1417</v>
      </c>
      <c r="J8" s="18">
        <v>1417</v>
      </c>
      <c r="K8" s="18">
        <v>1417</v>
      </c>
      <c r="L8" s="58">
        <v>1417</v>
      </c>
      <c r="M8" s="58">
        <v>1417</v>
      </c>
      <c r="N8" s="58">
        <v>1417</v>
      </c>
      <c r="O8" s="65">
        <v>1417</v>
      </c>
      <c r="P8" s="65">
        <v>1417</v>
      </c>
    </row>
    <row r="9" spans="1:16" x14ac:dyDescent="0.3">
      <c r="A9" s="48" t="s">
        <v>22</v>
      </c>
      <c r="B9" s="1">
        <v>1350</v>
      </c>
      <c r="C9" s="3">
        <v>1350</v>
      </c>
      <c r="D9" s="3">
        <v>1350</v>
      </c>
      <c r="E9" s="4">
        <v>1350</v>
      </c>
      <c r="F9" s="1">
        <v>1350</v>
      </c>
      <c r="G9" s="40">
        <v>1350</v>
      </c>
      <c r="H9" s="18">
        <v>850</v>
      </c>
      <c r="I9" s="20">
        <v>850</v>
      </c>
      <c r="J9" s="18">
        <v>850</v>
      </c>
      <c r="K9" s="18">
        <v>850</v>
      </c>
      <c r="L9" s="58">
        <v>850</v>
      </c>
      <c r="M9" s="58">
        <v>850</v>
      </c>
      <c r="N9" s="58">
        <v>850</v>
      </c>
      <c r="O9" s="65">
        <v>850</v>
      </c>
      <c r="P9" s="65">
        <v>850</v>
      </c>
    </row>
    <row r="10" spans="1:16" x14ac:dyDescent="0.3">
      <c r="A10" s="48" t="s">
        <v>22</v>
      </c>
      <c r="B10" s="50"/>
      <c r="C10" s="50"/>
      <c r="D10" s="50"/>
      <c r="E10" s="51"/>
      <c r="F10" s="52"/>
      <c r="G10" s="53"/>
      <c r="H10" s="54"/>
      <c r="I10" s="55"/>
      <c r="J10" s="21"/>
      <c r="K10" s="21"/>
      <c r="L10" s="58"/>
      <c r="M10" s="58"/>
      <c r="N10" s="58">
        <v>0</v>
      </c>
      <c r="O10" s="65">
        <v>0</v>
      </c>
      <c r="P10" s="65">
        <v>0</v>
      </c>
    </row>
    <row r="11" spans="1:16" x14ac:dyDescent="0.3">
      <c r="A11" s="48" t="s">
        <v>22</v>
      </c>
      <c r="B11" s="7"/>
      <c r="C11" s="7"/>
      <c r="D11" s="7"/>
      <c r="E11" s="4"/>
      <c r="G11" s="41"/>
      <c r="H11" s="17"/>
      <c r="I11" s="22"/>
      <c r="J11" s="18"/>
      <c r="K11" s="18"/>
      <c r="L11" s="65"/>
      <c r="M11" s="65"/>
      <c r="N11" s="65"/>
      <c r="O11" s="65">
        <v>787</v>
      </c>
      <c r="P11" s="65"/>
    </row>
    <row r="12" spans="1:16" x14ac:dyDescent="0.3">
      <c r="A12" s="2" t="s">
        <v>23</v>
      </c>
      <c r="B12" s="1">
        <v>1750</v>
      </c>
      <c r="C12" s="3">
        <v>1750</v>
      </c>
      <c r="D12" s="3">
        <v>1750</v>
      </c>
      <c r="E12" s="4">
        <v>1750</v>
      </c>
      <c r="F12" s="1">
        <v>1750</v>
      </c>
      <c r="G12" s="40">
        <v>1750</v>
      </c>
      <c r="H12" s="18">
        <v>1102</v>
      </c>
      <c r="I12" s="20">
        <v>1102</v>
      </c>
      <c r="J12" s="18">
        <v>1102</v>
      </c>
      <c r="K12" s="18">
        <v>1102</v>
      </c>
      <c r="L12" s="59">
        <v>1152</v>
      </c>
      <c r="M12" s="58">
        <v>1152</v>
      </c>
      <c r="N12" s="58">
        <v>1152</v>
      </c>
      <c r="O12" s="65">
        <v>1152</v>
      </c>
      <c r="P12" s="65">
        <v>1152</v>
      </c>
    </row>
    <row r="13" spans="1:16" x14ac:dyDescent="0.3">
      <c r="A13" s="2" t="s">
        <v>24</v>
      </c>
      <c r="B13" s="1">
        <v>950</v>
      </c>
      <c r="C13" s="3">
        <v>950</v>
      </c>
      <c r="D13" s="3">
        <v>950</v>
      </c>
      <c r="E13" s="4">
        <v>950</v>
      </c>
      <c r="F13" s="1">
        <v>950</v>
      </c>
      <c r="G13" s="40">
        <v>950</v>
      </c>
      <c r="H13" s="18">
        <v>598</v>
      </c>
      <c r="I13" s="20">
        <v>598</v>
      </c>
      <c r="J13" s="18">
        <v>598</v>
      </c>
      <c r="K13" s="18">
        <v>598</v>
      </c>
      <c r="L13" s="58">
        <v>598</v>
      </c>
      <c r="M13" s="58">
        <v>598</v>
      </c>
      <c r="N13" s="58">
        <v>598</v>
      </c>
      <c r="O13" s="65">
        <v>598</v>
      </c>
      <c r="P13" s="65">
        <v>598</v>
      </c>
    </row>
    <row r="14" spans="1:16" x14ac:dyDescent="0.3">
      <c r="A14" s="2" t="s">
        <v>25</v>
      </c>
      <c r="B14" s="1">
        <v>1400</v>
      </c>
      <c r="C14" s="3">
        <v>1400</v>
      </c>
      <c r="D14" s="3">
        <v>1400</v>
      </c>
      <c r="E14" s="4">
        <v>1400</v>
      </c>
      <c r="F14" s="1">
        <v>1400</v>
      </c>
      <c r="G14" s="40">
        <v>1400</v>
      </c>
      <c r="H14" s="18">
        <v>882</v>
      </c>
      <c r="I14" s="20">
        <v>882</v>
      </c>
      <c r="J14" s="18">
        <v>882</v>
      </c>
      <c r="K14" s="18">
        <v>882</v>
      </c>
      <c r="L14" s="58">
        <v>882</v>
      </c>
      <c r="M14" s="58">
        <v>882</v>
      </c>
      <c r="N14" s="58">
        <v>882</v>
      </c>
      <c r="O14" s="65">
        <v>882</v>
      </c>
      <c r="P14" s="65">
        <v>882</v>
      </c>
    </row>
    <row r="15" spans="1:16" x14ac:dyDescent="0.3">
      <c r="A15" s="2" t="s">
        <v>26</v>
      </c>
      <c r="B15" s="1">
        <v>1000</v>
      </c>
      <c r="C15" s="3">
        <v>1000</v>
      </c>
      <c r="D15" s="3">
        <v>1000</v>
      </c>
      <c r="E15" s="4">
        <v>1000</v>
      </c>
      <c r="F15" s="1">
        <v>1000</v>
      </c>
      <c r="G15" s="40">
        <v>1000</v>
      </c>
      <c r="H15" s="18">
        <v>630</v>
      </c>
      <c r="I15" s="20">
        <v>630</v>
      </c>
      <c r="J15" s="18">
        <v>630</v>
      </c>
      <c r="K15" s="18">
        <v>630</v>
      </c>
      <c r="L15" s="58">
        <v>630</v>
      </c>
      <c r="M15" s="58">
        <v>630</v>
      </c>
      <c r="N15" s="58">
        <v>630</v>
      </c>
      <c r="O15" s="65">
        <v>630</v>
      </c>
      <c r="P15" s="65">
        <v>630</v>
      </c>
    </row>
    <row r="16" spans="1:16" x14ac:dyDescent="0.3">
      <c r="A16" s="2" t="s">
        <v>27</v>
      </c>
      <c r="B16" s="1">
        <v>950</v>
      </c>
      <c r="C16" s="3">
        <v>950</v>
      </c>
      <c r="D16" s="3">
        <v>950</v>
      </c>
      <c r="E16" s="4">
        <v>950</v>
      </c>
      <c r="F16" s="1">
        <v>950</v>
      </c>
      <c r="G16" s="40">
        <v>950</v>
      </c>
      <c r="H16" s="18">
        <v>598</v>
      </c>
      <c r="I16" s="20">
        <v>786</v>
      </c>
      <c r="J16" s="18">
        <v>786</v>
      </c>
      <c r="K16" s="18">
        <v>786</v>
      </c>
      <c r="L16" s="58">
        <v>786</v>
      </c>
      <c r="M16" s="58">
        <v>786</v>
      </c>
      <c r="N16" s="58">
        <v>786</v>
      </c>
      <c r="O16" s="65">
        <v>786</v>
      </c>
      <c r="P16" s="65">
        <v>786</v>
      </c>
    </row>
    <row r="17" spans="1:16" x14ac:dyDescent="0.3">
      <c r="A17" s="2" t="s">
        <v>28</v>
      </c>
      <c r="B17" s="1">
        <v>1175</v>
      </c>
      <c r="C17" s="3">
        <v>1175</v>
      </c>
      <c r="D17" s="3">
        <v>1300</v>
      </c>
      <c r="E17" s="4">
        <v>1300</v>
      </c>
      <c r="F17" s="1">
        <v>1300</v>
      </c>
      <c r="G17" s="40">
        <v>1300</v>
      </c>
      <c r="H17" s="18">
        <v>818</v>
      </c>
      <c r="I17" s="20">
        <v>818</v>
      </c>
      <c r="J17" s="18">
        <v>818</v>
      </c>
      <c r="K17" s="18">
        <v>818</v>
      </c>
      <c r="L17" s="58">
        <v>818</v>
      </c>
      <c r="M17" s="58">
        <v>818</v>
      </c>
      <c r="N17" s="58">
        <v>818</v>
      </c>
      <c r="O17" s="65">
        <v>818</v>
      </c>
      <c r="P17" s="65">
        <v>818</v>
      </c>
    </row>
    <row r="18" spans="1:16" x14ac:dyDescent="0.3">
      <c r="A18" s="2" t="s">
        <v>29</v>
      </c>
      <c r="B18" s="1">
        <v>2000</v>
      </c>
      <c r="C18" s="3">
        <v>2000</v>
      </c>
      <c r="D18" s="3">
        <v>2000</v>
      </c>
      <c r="E18" s="4">
        <v>2000</v>
      </c>
      <c r="F18" s="1">
        <v>2000</v>
      </c>
      <c r="G18" s="40">
        <v>2000</v>
      </c>
      <c r="H18" s="18">
        <v>1259</v>
      </c>
      <c r="I18" s="20">
        <v>1259</v>
      </c>
      <c r="J18" s="18">
        <v>1259</v>
      </c>
      <c r="K18" s="18">
        <v>1259</v>
      </c>
      <c r="L18" s="58">
        <v>1259</v>
      </c>
      <c r="M18" s="58">
        <v>1259</v>
      </c>
      <c r="N18" s="58">
        <v>1259</v>
      </c>
      <c r="O18" s="65">
        <v>1259</v>
      </c>
      <c r="P18" s="65">
        <v>1259</v>
      </c>
    </row>
    <row r="19" spans="1:16" x14ac:dyDescent="0.3">
      <c r="A19" s="2" t="s">
        <v>30</v>
      </c>
      <c r="B19" s="1">
        <v>1340</v>
      </c>
      <c r="C19" s="3">
        <v>1340</v>
      </c>
      <c r="D19" s="3">
        <v>1356</v>
      </c>
      <c r="E19" s="4">
        <v>1393</v>
      </c>
      <c r="F19" s="1">
        <v>1397</v>
      </c>
      <c r="G19" s="40">
        <v>1397</v>
      </c>
      <c r="H19" s="18">
        <v>879.72</v>
      </c>
      <c r="I19" s="20">
        <v>879.72</v>
      </c>
      <c r="J19" s="18">
        <v>879.72</v>
      </c>
      <c r="K19" s="18">
        <v>895.91</v>
      </c>
      <c r="L19" s="59">
        <v>896.54</v>
      </c>
      <c r="M19" s="59">
        <v>897.06</v>
      </c>
      <c r="N19" s="59">
        <v>898.52</v>
      </c>
      <c r="O19" s="65">
        <v>898.52</v>
      </c>
      <c r="P19" s="60">
        <v>895.42</v>
      </c>
    </row>
    <row r="20" spans="1:16" x14ac:dyDescent="0.3">
      <c r="A20" s="2" t="s">
        <v>31</v>
      </c>
      <c r="B20" s="1">
        <v>1400</v>
      </c>
      <c r="C20" s="3">
        <v>1400</v>
      </c>
      <c r="D20" s="3">
        <v>1400</v>
      </c>
      <c r="E20" s="4">
        <v>1400</v>
      </c>
      <c r="F20" s="1">
        <v>1400</v>
      </c>
      <c r="G20" s="40">
        <v>1400</v>
      </c>
      <c r="H20" s="18">
        <v>880.67</v>
      </c>
      <c r="I20" s="20">
        <v>880.67</v>
      </c>
      <c r="J20" s="18">
        <v>880.67</v>
      </c>
      <c r="K20" s="18">
        <v>880.67</v>
      </c>
      <c r="L20" s="58">
        <v>880.67</v>
      </c>
      <c r="M20" s="58">
        <v>880.67</v>
      </c>
      <c r="N20" s="58">
        <v>880.67</v>
      </c>
      <c r="O20" s="65">
        <v>880.67</v>
      </c>
      <c r="P20" s="65">
        <v>880.67</v>
      </c>
    </row>
    <row r="21" spans="1:16" x14ac:dyDescent="0.3">
      <c r="A21" s="2" t="s">
        <v>32</v>
      </c>
      <c r="B21" s="1">
        <v>1500</v>
      </c>
      <c r="C21" s="3">
        <v>1500</v>
      </c>
      <c r="D21" s="3">
        <v>1500</v>
      </c>
      <c r="E21" s="4">
        <v>1500</v>
      </c>
      <c r="F21" s="1">
        <v>1500</v>
      </c>
      <c r="G21" s="40">
        <v>1500</v>
      </c>
      <c r="H21" s="18">
        <v>945</v>
      </c>
      <c r="I21" s="20">
        <v>945</v>
      </c>
      <c r="J21" s="18">
        <v>1080</v>
      </c>
      <c r="K21" s="18">
        <v>1080</v>
      </c>
      <c r="L21" s="58">
        <v>1080</v>
      </c>
      <c r="M21" s="58">
        <v>1080</v>
      </c>
      <c r="N21" s="58">
        <v>1080</v>
      </c>
      <c r="O21" s="65">
        <v>1080</v>
      </c>
      <c r="P21" s="65">
        <v>1080</v>
      </c>
    </row>
    <row r="22" spans="1:16" x14ac:dyDescent="0.3">
      <c r="A22" s="2" t="s">
        <v>33</v>
      </c>
      <c r="B22" s="1">
        <v>1200</v>
      </c>
      <c r="C22" s="3">
        <v>1200</v>
      </c>
      <c r="D22" s="3">
        <v>1200</v>
      </c>
      <c r="E22" s="4">
        <v>1390</v>
      </c>
      <c r="F22" s="1">
        <v>1390</v>
      </c>
      <c r="G22" s="40">
        <v>1390</v>
      </c>
      <c r="H22" s="18">
        <v>875</v>
      </c>
      <c r="I22" s="20">
        <v>875</v>
      </c>
      <c r="J22" s="18">
        <v>875</v>
      </c>
      <c r="K22" s="18">
        <v>875</v>
      </c>
      <c r="L22" s="58">
        <v>875</v>
      </c>
      <c r="M22" s="58">
        <v>875</v>
      </c>
      <c r="N22" s="58">
        <v>875</v>
      </c>
      <c r="O22" s="65">
        <v>875</v>
      </c>
      <c r="P22" s="65">
        <v>875</v>
      </c>
    </row>
    <row r="23" spans="1:16" x14ac:dyDescent="0.3">
      <c r="A23" s="56" t="s">
        <v>334</v>
      </c>
      <c r="B23" s="1">
        <v>1100</v>
      </c>
      <c r="C23" s="3">
        <v>1100</v>
      </c>
      <c r="D23" s="3">
        <v>1100</v>
      </c>
      <c r="E23" s="4">
        <v>1100</v>
      </c>
      <c r="F23" s="1">
        <v>1100</v>
      </c>
      <c r="G23" s="40">
        <v>1100</v>
      </c>
      <c r="H23" s="18">
        <v>680</v>
      </c>
      <c r="I23" s="20">
        <v>680</v>
      </c>
      <c r="J23" s="18">
        <v>680</v>
      </c>
      <c r="K23" s="18">
        <v>680</v>
      </c>
      <c r="L23" s="58">
        <v>680</v>
      </c>
      <c r="M23" s="58">
        <v>680</v>
      </c>
      <c r="N23" s="58">
        <v>680</v>
      </c>
      <c r="O23" s="65">
        <v>680</v>
      </c>
      <c r="P23" s="65">
        <v>690</v>
      </c>
    </row>
    <row r="24" spans="1:16" x14ac:dyDescent="0.3">
      <c r="A24" s="56" t="s">
        <v>334</v>
      </c>
      <c r="B24" s="68"/>
      <c r="C24" s="68"/>
      <c r="D24" s="68"/>
      <c r="E24" s="69"/>
      <c r="F24" s="70"/>
      <c r="G24" s="71"/>
      <c r="H24" s="72"/>
      <c r="I24" s="73"/>
      <c r="J24" s="74"/>
      <c r="K24" s="74"/>
      <c r="L24" s="75"/>
      <c r="M24" s="75"/>
      <c r="N24" s="75"/>
      <c r="O24" s="75"/>
      <c r="P24" s="75">
        <v>1190</v>
      </c>
    </row>
    <row r="25" spans="1:16" x14ac:dyDescent="0.3">
      <c r="A25" s="2" t="s">
        <v>34</v>
      </c>
      <c r="B25" s="1">
        <v>1200</v>
      </c>
      <c r="C25" s="3">
        <v>1200</v>
      </c>
      <c r="D25" s="3">
        <v>1200</v>
      </c>
      <c r="E25" s="4">
        <v>1200</v>
      </c>
      <c r="F25" s="1">
        <v>1200</v>
      </c>
      <c r="G25" s="40">
        <v>1200</v>
      </c>
      <c r="H25" s="18">
        <v>755.67</v>
      </c>
      <c r="I25" s="20">
        <v>755.67</v>
      </c>
      <c r="J25" s="18">
        <v>755.67</v>
      </c>
      <c r="K25" s="18">
        <v>755.67</v>
      </c>
      <c r="L25" s="58">
        <v>755.67</v>
      </c>
      <c r="M25" s="58">
        <v>755.67</v>
      </c>
      <c r="N25" s="58">
        <v>755.67</v>
      </c>
      <c r="O25" s="65">
        <v>755.67</v>
      </c>
      <c r="P25" s="65">
        <v>899</v>
      </c>
    </row>
    <row r="26" spans="1:16" x14ac:dyDescent="0.3">
      <c r="A26" s="2" t="s">
        <v>35</v>
      </c>
      <c r="B26" s="1">
        <v>1400</v>
      </c>
      <c r="C26" s="3">
        <v>1400</v>
      </c>
      <c r="D26" s="3">
        <v>1400</v>
      </c>
      <c r="E26" s="4">
        <v>1400</v>
      </c>
      <c r="F26" s="1">
        <v>1400</v>
      </c>
      <c r="G26" s="40">
        <v>1400</v>
      </c>
      <c r="H26" s="18">
        <v>882</v>
      </c>
      <c r="I26" s="20">
        <v>882</v>
      </c>
      <c r="J26" s="18">
        <v>882</v>
      </c>
      <c r="K26" s="18">
        <v>882</v>
      </c>
      <c r="L26" s="58">
        <v>882</v>
      </c>
      <c r="M26" s="58">
        <v>882</v>
      </c>
      <c r="N26" s="58">
        <v>882</v>
      </c>
      <c r="O26" s="65">
        <v>882</v>
      </c>
      <c r="P26" s="65">
        <v>882</v>
      </c>
    </row>
    <row r="27" spans="1:16" x14ac:dyDescent="0.3">
      <c r="A27" s="2" t="s">
        <v>36</v>
      </c>
      <c r="B27" s="1">
        <v>1290</v>
      </c>
      <c r="C27" s="3">
        <v>1450</v>
      </c>
      <c r="D27" s="3">
        <v>1450</v>
      </c>
      <c r="E27" s="4">
        <v>1450</v>
      </c>
      <c r="F27" s="1">
        <v>1450</v>
      </c>
      <c r="G27" s="40">
        <v>1450</v>
      </c>
      <c r="H27" s="18">
        <v>913</v>
      </c>
      <c r="I27" s="20">
        <v>913</v>
      </c>
      <c r="J27" s="18">
        <v>955</v>
      </c>
      <c r="K27" s="18">
        <v>955</v>
      </c>
      <c r="L27" s="58">
        <v>955</v>
      </c>
      <c r="M27" s="58">
        <v>955</v>
      </c>
      <c r="N27" s="58">
        <v>955</v>
      </c>
      <c r="O27" s="65">
        <v>955</v>
      </c>
      <c r="P27" s="65">
        <v>955</v>
      </c>
    </row>
    <row r="28" spans="1:16" x14ac:dyDescent="0.3">
      <c r="A28" s="2" t="s">
        <v>37</v>
      </c>
      <c r="B28" s="1">
        <v>1850</v>
      </c>
      <c r="C28" s="3">
        <v>1850</v>
      </c>
      <c r="D28" s="3">
        <v>1850</v>
      </c>
      <c r="E28" s="4">
        <v>1850</v>
      </c>
      <c r="F28" s="1">
        <v>1850</v>
      </c>
      <c r="G28" s="40">
        <v>1850</v>
      </c>
      <c r="H28" s="18">
        <v>1165</v>
      </c>
      <c r="I28" s="20">
        <v>1165</v>
      </c>
      <c r="J28" s="18">
        <v>1165</v>
      </c>
      <c r="K28" s="18">
        <v>1165</v>
      </c>
      <c r="L28" s="58">
        <v>1165</v>
      </c>
      <c r="M28" s="58">
        <v>1165</v>
      </c>
      <c r="N28" s="58">
        <v>1165</v>
      </c>
      <c r="O28" s="65">
        <v>1165</v>
      </c>
      <c r="P28" s="65">
        <v>1165</v>
      </c>
    </row>
    <row r="29" spans="1:16" x14ac:dyDescent="0.3">
      <c r="A29" s="2" t="s">
        <v>38</v>
      </c>
      <c r="B29" s="1">
        <v>1100</v>
      </c>
      <c r="C29" s="3">
        <v>1100</v>
      </c>
      <c r="D29" s="3">
        <v>1100</v>
      </c>
      <c r="E29" s="4">
        <v>1100</v>
      </c>
      <c r="F29" s="1">
        <v>1100</v>
      </c>
      <c r="G29" s="40">
        <v>1100</v>
      </c>
      <c r="H29" s="18">
        <v>690</v>
      </c>
      <c r="I29" s="20">
        <v>690</v>
      </c>
      <c r="J29" s="18">
        <v>880</v>
      </c>
      <c r="K29" s="18">
        <v>880</v>
      </c>
      <c r="L29" s="58">
        <v>880</v>
      </c>
      <c r="M29" s="58">
        <v>880</v>
      </c>
      <c r="N29" s="58">
        <v>880</v>
      </c>
      <c r="O29" s="65">
        <v>880</v>
      </c>
      <c r="P29" s="65">
        <v>880</v>
      </c>
    </row>
    <row r="30" spans="1:16" x14ac:dyDescent="0.3">
      <c r="A30" s="2" t="s">
        <v>39</v>
      </c>
      <c r="B30" s="1">
        <v>1050</v>
      </c>
      <c r="C30" s="3">
        <v>1050</v>
      </c>
      <c r="D30" s="3">
        <v>1050</v>
      </c>
      <c r="E30" s="4">
        <v>1050</v>
      </c>
      <c r="F30" s="1">
        <v>1050</v>
      </c>
      <c r="G30" s="40">
        <v>1050</v>
      </c>
      <c r="H30" s="18">
        <v>661</v>
      </c>
      <c r="I30" s="20">
        <v>661</v>
      </c>
      <c r="J30" s="18">
        <v>661</v>
      </c>
      <c r="K30" s="18">
        <v>661</v>
      </c>
      <c r="L30" s="58">
        <v>661</v>
      </c>
      <c r="M30" s="58">
        <v>661</v>
      </c>
      <c r="N30" s="58">
        <v>661</v>
      </c>
      <c r="O30" s="65">
        <v>661</v>
      </c>
      <c r="P30" s="65">
        <v>661</v>
      </c>
    </row>
    <row r="31" spans="1:16" x14ac:dyDescent="0.3">
      <c r="A31" s="2" t="s">
        <v>40</v>
      </c>
      <c r="B31" s="1">
        <v>1600</v>
      </c>
      <c r="C31" s="3">
        <v>1600</v>
      </c>
      <c r="D31" s="3">
        <v>1700</v>
      </c>
      <c r="E31" s="4">
        <v>1700</v>
      </c>
      <c r="F31" s="1">
        <v>1700</v>
      </c>
      <c r="G31" s="40">
        <v>1700</v>
      </c>
      <c r="H31" s="18">
        <v>1071</v>
      </c>
      <c r="I31" s="20">
        <v>1071</v>
      </c>
      <c r="J31" s="18">
        <v>1071</v>
      </c>
      <c r="K31" s="18">
        <v>1071</v>
      </c>
      <c r="L31" s="58">
        <v>1071</v>
      </c>
      <c r="M31" s="58">
        <v>1071</v>
      </c>
      <c r="N31" s="58">
        <v>1071</v>
      </c>
      <c r="O31" s="65">
        <v>1071</v>
      </c>
      <c r="P31" s="65">
        <v>1071</v>
      </c>
    </row>
    <row r="32" spans="1:16" x14ac:dyDescent="0.3">
      <c r="A32" s="2" t="s">
        <v>41</v>
      </c>
      <c r="B32" s="1">
        <v>1200</v>
      </c>
      <c r="C32" s="3">
        <v>1200</v>
      </c>
      <c r="D32" s="3">
        <v>1400</v>
      </c>
      <c r="E32" s="4">
        <v>1400</v>
      </c>
      <c r="F32" s="1">
        <v>1400</v>
      </c>
      <c r="G32" s="40">
        <v>1400</v>
      </c>
      <c r="H32" s="18">
        <v>882</v>
      </c>
      <c r="I32" s="17">
        <v>882</v>
      </c>
      <c r="J32" s="18">
        <v>882</v>
      </c>
      <c r="K32" s="18">
        <v>882</v>
      </c>
      <c r="L32" s="21">
        <v>882</v>
      </c>
      <c r="M32" s="21">
        <v>882</v>
      </c>
      <c r="N32" s="58">
        <v>882</v>
      </c>
      <c r="O32" s="65" t="s">
        <v>42</v>
      </c>
      <c r="P32" s="65"/>
    </row>
    <row r="33" spans="1:16" x14ac:dyDescent="0.3">
      <c r="A33" s="56" t="s">
        <v>335</v>
      </c>
      <c r="B33" s="7"/>
      <c r="C33" s="7"/>
      <c r="D33" s="7"/>
      <c r="E33" s="4"/>
      <c r="G33" s="41"/>
      <c r="H33" s="17"/>
      <c r="I33" s="22"/>
      <c r="J33" s="18"/>
      <c r="K33" s="18"/>
      <c r="L33" s="18"/>
      <c r="M33" s="18"/>
      <c r="N33" s="65"/>
      <c r="O33" s="65">
        <v>882</v>
      </c>
      <c r="P33" s="65">
        <v>882</v>
      </c>
    </row>
    <row r="34" spans="1:16" x14ac:dyDescent="0.3">
      <c r="A34" s="56" t="s">
        <v>335</v>
      </c>
      <c r="B34" s="7"/>
      <c r="C34" s="7"/>
      <c r="D34" s="7"/>
      <c r="E34" s="4"/>
      <c r="G34" s="41"/>
      <c r="H34" s="17"/>
      <c r="I34" s="22"/>
      <c r="J34" s="18"/>
      <c r="K34" s="18"/>
      <c r="L34" s="18"/>
      <c r="M34" s="18"/>
      <c r="N34" s="65"/>
      <c r="O34" s="65">
        <v>1000</v>
      </c>
      <c r="P34" s="65">
        <v>1000</v>
      </c>
    </row>
    <row r="35" spans="1:16" x14ac:dyDescent="0.3">
      <c r="A35" s="2" t="s">
        <v>43</v>
      </c>
      <c r="B35" s="1">
        <v>1100</v>
      </c>
      <c r="C35" s="3">
        <v>1100</v>
      </c>
      <c r="D35" s="3">
        <v>1100</v>
      </c>
      <c r="E35" s="4">
        <v>1100</v>
      </c>
      <c r="F35" s="1">
        <v>1100</v>
      </c>
      <c r="G35" s="40">
        <v>1100</v>
      </c>
      <c r="H35" s="18">
        <v>690</v>
      </c>
      <c r="I35" s="17">
        <v>690</v>
      </c>
      <c r="J35" s="18">
        <v>690</v>
      </c>
      <c r="K35" s="18">
        <v>690</v>
      </c>
      <c r="L35" s="58">
        <v>690</v>
      </c>
      <c r="M35" s="58">
        <v>690</v>
      </c>
      <c r="N35" s="58">
        <v>690</v>
      </c>
      <c r="O35" s="65">
        <v>690</v>
      </c>
      <c r="P35" s="65">
        <v>690</v>
      </c>
    </row>
    <row r="36" spans="1:16" x14ac:dyDescent="0.3">
      <c r="A36" s="2" t="s">
        <v>44</v>
      </c>
      <c r="B36" s="1">
        <v>1450</v>
      </c>
      <c r="C36" s="3">
        <v>1450</v>
      </c>
      <c r="D36" s="3">
        <v>1450</v>
      </c>
      <c r="E36" s="4">
        <v>1450</v>
      </c>
      <c r="F36" s="1">
        <v>1450</v>
      </c>
      <c r="G36" s="40">
        <v>1450</v>
      </c>
      <c r="H36" s="18">
        <v>913.1</v>
      </c>
      <c r="I36" s="17">
        <v>913.1</v>
      </c>
      <c r="J36" s="18">
        <v>970</v>
      </c>
      <c r="K36" s="18">
        <v>970</v>
      </c>
      <c r="L36" s="58">
        <v>970</v>
      </c>
      <c r="M36" s="58">
        <v>970</v>
      </c>
      <c r="N36" s="58">
        <v>970</v>
      </c>
      <c r="O36" s="65" t="s">
        <v>42</v>
      </c>
      <c r="P36" s="65"/>
    </row>
    <row r="37" spans="1:16" x14ac:dyDescent="0.3">
      <c r="A37" s="66" t="s">
        <v>45</v>
      </c>
      <c r="B37" s="50"/>
      <c r="C37" s="50"/>
      <c r="D37" s="50"/>
      <c r="E37" s="51"/>
      <c r="F37" s="52"/>
      <c r="G37" s="53"/>
      <c r="H37" s="54"/>
      <c r="I37" s="55"/>
      <c r="J37" s="21"/>
      <c r="K37" s="21"/>
      <c r="L37" s="58"/>
      <c r="M37" s="58"/>
      <c r="N37" s="58"/>
      <c r="O37" s="58">
        <v>970</v>
      </c>
      <c r="P37" s="65">
        <v>970</v>
      </c>
    </row>
    <row r="38" spans="1:16" x14ac:dyDescent="0.3">
      <c r="A38" s="2" t="s">
        <v>46</v>
      </c>
      <c r="B38" s="1">
        <v>1745</v>
      </c>
      <c r="C38" s="3">
        <v>1745</v>
      </c>
      <c r="D38" s="3">
        <v>1745</v>
      </c>
      <c r="E38" s="4">
        <v>1745</v>
      </c>
      <c r="F38" s="1">
        <v>1745</v>
      </c>
      <c r="G38" s="40">
        <v>1745</v>
      </c>
      <c r="H38" s="18">
        <v>1099</v>
      </c>
      <c r="I38" s="17">
        <v>1099</v>
      </c>
      <c r="J38" s="18">
        <v>1099</v>
      </c>
      <c r="K38" s="18">
        <v>1099</v>
      </c>
      <c r="L38" s="58">
        <v>1099</v>
      </c>
      <c r="M38" s="58">
        <v>1099</v>
      </c>
      <c r="N38" s="58">
        <v>1099</v>
      </c>
      <c r="O38" s="65">
        <v>1099</v>
      </c>
      <c r="P38" s="65">
        <v>1099</v>
      </c>
    </row>
    <row r="39" spans="1:16" x14ac:dyDescent="0.3">
      <c r="A39" s="2" t="s">
        <v>47</v>
      </c>
      <c r="B39" s="1">
        <v>1350</v>
      </c>
      <c r="C39" s="3">
        <v>1350</v>
      </c>
      <c r="D39" s="3">
        <v>1550</v>
      </c>
      <c r="E39" s="4">
        <v>1550</v>
      </c>
      <c r="F39" s="1">
        <v>1550</v>
      </c>
      <c r="G39" s="40">
        <v>1550</v>
      </c>
      <c r="H39" s="18">
        <v>976.07</v>
      </c>
      <c r="I39" s="17">
        <v>976.07</v>
      </c>
      <c r="J39" s="18">
        <v>976.07</v>
      </c>
      <c r="K39" s="18">
        <v>976.07</v>
      </c>
      <c r="L39" s="58">
        <v>976.07</v>
      </c>
      <c r="M39" s="58">
        <v>976.07</v>
      </c>
      <c r="N39" s="58">
        <v>976.07</v>
      </c>
      <c r="O39" s="65">
        <v>976.07</v>
      </c>
      <c r="P39" s="65">
        <v>976.07</v>
      </c>
    </row>
    <row r="40" spans="1:16" x14ac:dyDescent="0.3">
      <c r="A40" s="76" t="s">
        <v>336</v>
      </c>
      <c r="B40" s="1">
        <v>1230</v>
      </c>
      <c r="C40" s="3">
        <v>1230</v>
      </c>
      <c r="D40" s="3">
        <v>1230</v>
      </c>
      <c r="E40" s="4">
        <v>1230</v>
      </c>
      <c r="F40" s="1">
        <v>1230</v>
      </c>
      <c r="G40" s="40">
        <v>1230</v>
      </c>
      <c r="H40" s="18">
        <v>775</v>
      </c>
      <c r="I40" s="17">
        <v>775</v>
      </c>
      <c r="J40" s="18">
        <v>846</v>
      </c>
      <c r="K40" s="18">
        <v>846</v>
      </c>
      <c r="L40" s="58">
        <v>846</v>
      </c>
      <c r="M40" s="58">
        <v>846</v>
      </c>
      <c r="N40" s="58">
        <v>846</v>
      </c>
      <c r="O40" s="65">
        <v>846</v>
      </c>
      <c r="P40" s="65">
        <v>930</v>
      </c>
    </row>
    <row r="41" spans="1:16" x14ac:dyDescent="0.3">
      <c r="A41" s="76" t="s">
        <v>336</v>
      </c>
      <c r="B41" s="68"/>
      <c r="C41" s="68"/>
      <c r="D41" s="68"/>
      <c r="E41" s="69"/>
      <c r="F41" s="70"/>
      <c r="G41" s="71"/>
      <c r="H41" s="72"/>
      <c r="I41" s="73"/>
      <c r="J41" s="74"/>
      <c r="K41" s="74"/>
      <c r="L41" s="75"/>
      <c r="M41" s="75"/>
      <c r="N41" s="75"/>
      <c r="O41" s="75"/>
      <c r="P41" s="75">
        <v>975</v>
      </c>
    </row>
    <row r="42" spans="1:16" x14ac:dyDescent="0.3">
      <c r="A42" s="2" t="s">
        <v>48</v>
      </c>
      <c r="B42" s="1">
        <v>1150</v>
      </c>
      <c r="C42" s="3">
        <v>1150</v>
      </c>
      <c r="D42" s="3">
        <v>1150</v>
      </c>
      <c r="E42" s="4">
        <v>1150</v>
      </c>
      <c r="F42" s="1">
        <v>1150</v>
      </c>
      <c r="G42" s="40">
        <v>1150</v>
      </c>
      <c r="H42" s="18">
        <v>724.18</v>
      </c>
      <c r="I42" s="17">
        <v>724.18</v>
      </c>
      <c r="J42" s="18">
        <v>724.18</v>
      </c>
      <c r="K42" s="18">
        <v>724.18</v>
      </c>
      <c r="L42" s="58">
        <v>724.18</v>
      </c>
      <c r="M42" s="58">
        <v>724.18</v>
      </c>
      <c r="N42" s="58">
        <v>724.18</v>
      </c>
      <c r="O42" s="65">
        <v>724.18</v>
      </c>
      <c r="P42" s="65">
        <v>724.18</v>
      </c>
    </row>
    <row r="43" spans="1:16" x14ac:dyDescent="0.3">
      <c r="A43" s="2" t="s">
        <v>49</v>
      </c>
      <c r="B43" s="1">
        <v>1550</v>
      </c>
      <c r="C43" s="3">
        <v>1550</v>
      </c>
      <c r="D43" s="3">
        <v>1550</v>
      </c>
      <c r="E43" s="4">
        <v>1550</v>
      </c>
      <c r="F43" s="1">
        <v>1550</v>
      </c>
      <c r="G43" s="40">
        <v>1550</v>
      </c>
      <c r="H43" s="18">
        <v>976</v>
      </c>
      <c r="I43" s="17">
        <v>976</v>
      </c>
      <c r="J43" s="18">
        <v>976</v>
      </c>
      <c r="K43" s="18">
        <v>976</v>
      </c>
      <c r="L43" s="58">
        <v>976</v>
      </c>
      <c r="M43" s="58">
        <v>976</v>
      </c>
      <c r="N43" s="58">
        <v>976</v>
      </c>
      <c r="O43" s="65">
        <v>976</v>
      </c>
      <c r="P43" s="65">
        <v>976</v>
      </c>
    </row>
    <row r="44" spans="1:16" x14ac:dyDescent="0.3">
      <c r="A44" s="2" t="s">
        <v>50</v>
      </c>
      <c r="B44" s="1">
        <v>1150</v>
      </c>
      <c r="C44" s="3">
        <v>1150</v>
      </c>
      <c r="D44" s="3">
        <v>1150</v>
      </c>
      <c r="E44" s="4">
        <v>1150</v>
      </c>
      <c r="F44" s="1">
        <v>1150</v>
      </c>
      <c r="G44" s="40">
        <v>1150</v>
      </c>
      <c r="H44" s="18">
        <v>725</v>
      </c>
      <c r="I44" s="17">
        <v>725</v>
      </c>
      <c r="J44" s="18">
        <v>725</v>
      </c>
      <c r="K44" s="18">
        <v>725</v>
      </c>
      <c r="L44" s="58">
        <v>725</v>
      </c>
      <c r="M44" s="58">
        <v>725</v>
      </c>
      <c r="N44" s="58">
        <v>725</v>
      </c>
      <c r="O44" s="65">
        <v>725</v>
      </c>
      <c r="P44" s="65">
        <v>850</v>
      </c>
    </row>
    <row r="45" spans="1:16" x14ac:dyDescent="0.3">
      <c r="A45" s="2" t="s">
        <v>51</v>
      </c>
      <c r="B45" s="1">
        <v>1700</v>
      </c>
      <c r="C45" s="3">
        <v>1700</v>
      </c>
      <c r="D45" s="3">
        <v>1700</v>
      </c>
      <c r="E45" s="4">
        <v>1700</v>
      </c>
      <c r="F45" s="1">
        <v>1700</v>
      </c>
      <c r="G45" s="40">
        <v>1650</v>
      </c>
      <c r="H45" s="18">
        <v>1039</v>
      </c>
      <c r="I45" s="17">
        <v>1039</v>
      </c>
      <c r="J45" s="18">
        <v>1039</v>
      </c>
      <c r="K45" s="18">
        <v>1039</v>
      </c>
      <c r="L45" s="58">
        <v>1039</v>
      </c>
      <c r="M45" s="58">
        <v>1039</v>
      </c>
      <c r="N45" s="58">
        <v>1039</v>
      </c>
      <c r="O45" s="65" t="s">
        <v>42</v>
      </c>
      <c r="P45" s="65"/>
    </row>
    <row r="46" spans="1:16" x14ac:dyDescent="0.3">
      <c r="A46" s="2" t="s">
        <v>52</v>
      </c>
      <c r="B46" s="1">
        <v>1275</v>
      </c>
      <c r="C46" s="3">
        <v>1275</v>
      </c>
      <c r="D46" s="3">
        <v>1475</v>
      </c>
      <c r="E46" s="4">
        <v>1475</v>
      </c>
      <c r="F46" s="1">
        <v>1475</v>
      </c>
      <c r="G46" s="40">
        <v>1475</v>
      </c>
      <c r="H46" s="18">
        <v>929</v>
      </c>
      <c r="I46" s="17">
        <v>929</v>
      </c>
      <c r="J46" s="18">
        <v>929</v>
      </c>
      <c r="K46" s="18">
        <v>929</v>
      </c>
      <c r="L46" s="59">
        <v>989</v>
      </c>
      <c r="M46" s="58">
        <v>989</v>
      </c>
      <c r="N46" s="58">
        <v>989</v>
      </c>
      <c r="O46" s="65">
        <v>989</v>
      </c>
      <c r="P46" s="65">
        <v>989</v>
      </c>
    </row>
    <row r="47" spans="1:16" x14ac:dyDescent="0.3">
      <c r="A47" s="6" t="s">
        <v>53</v>
      </c>
      <c r="B47" s="1">
        <v>1250</v>
      </c>
      <c r="C47" s="3">
        <v>1250</v>
      </c>
      <c r="D47" s="3">
        <v>1250</v>
      </c>
      <c r="E47" s="4">
        <v>1250</v>
      </c>
      <c r="F47" s="1">
        <v>1250</v>
      </c>
      <c r="G47" s="40">
        <v>1250</v>
      </c>
      <c r="H47" s="18">
        <v>787</v>
      </c>
      <c r="I47" s="17">
        <v>787</v>
      </c>
      <c r="J47" s="18">
        <v>787</v>
      </c>
      <c r="K47" s="18">
        <v>787</v>
      </c>
      <c r="L47" s="21">
        <v>787</v>
      </c>
      <c r="M47" s="21">
        <v>787</v>
      </c>
      <c r="N47" s="58">
        <v>787</v>
      </c>
      <c r="O47" s="65" t="s">
        <v>42</v>
      </c>
      <c r="P47" s="65"/>
    </row>
    <row r="48" spans="1:16" x14ac:dyDescent="0.3">
      <c r="A48" s="2" t="s">
        <v>54</v>
      </c>
      <c r="B48" s="1">
        <v>1150</v>
      </c>
      <c r="C48" s="3">
        <v>1290</v>
      </c>
      <c r="D48" s="3">
        <v>1290</v>
      </c>
      <c r="E48" s="4">
        <v>1290</v>
      </c>
      <c r="F48" s="1">
        <v>1290</v>
      </c>
      <c r="G48" s="40">
        <v>1290</v>
      </c>
      <c r="H48" s="18">
        <v>812.34</v>
      </c>
      <c r="I48" s="17">
        <v>812.34</v>
      </c>
      <c r="J48" s="18">
        <v>812.34</v>
      </c>
      <c r="K48" s="18">
        <v>812.34</v>
      </c>
      <c r="L48" s="58">
        <v>812.34</v>
      </c>
      <c r="M48" s="58">
        <v>812.34</v>
      </c>
      <c r="N48" s="60">
        <v>795</v>
      </c>
      <c r="O48" s="65">
        <v>795</v>
      </c>
      <c r="P48" s="65">
        <v>795</v>
      </c>
    </row>
    <row r="49" spans="1:16" x14ac:dyDescent="0.3">
      <c r="A49" s="2" t="s">
        <v>55</v>
      </c>
      <c r="B49" s="1">
        <v>1300</v>
      </c>
      <c r="C49" s="3">
        <v>1300</v>
      </c>
      <c r="D49" s="3">
        <v>1300</v>
      </c>
      <c r="E49" s="4">
        <v>1300</v>
      </c>
      <c r="F49" s="1">
        <v>1300</v>
      </c>
      <c r="G49" s="40">
        <v>1300</v>
      </c>
      <c r="H49" s="18">
        <v>818.64</v>
      </c>
      <c r="I49" s="17">
        <v>818.64</v>
      </c>
      <c r="J49" s="18">
        <v>818.64</v>
      </c>
      <c r="K49" s="18">
        <v>818.64</v>
      </c>
      <c r="L49" s="58">
        <v>818.64</v>
      </c>
      <c r="M49" s="58">
        <v>818.64</v>
      </c>
      <c r="N49" s="58">
        <v>818.64</v>
      </c>
      <c r="O49" s="65">
        <v>818.64</v>
      </c>
      <c r="P49" s="65">
        <v>818.64</v>
      </c>
    </row>
    <row r="50" spans="1:16" x14ac:dyDescent="0.3">
      <c r="A50" s="2" t="s">
        <v>56</v>
      </c>
      <c r="B50" s="1">
        <v>900</v>
      </c>
      <c r="C50" s="3">
        <v>900</v>
      </c>
      <c r="D50" s="3">
        <v>900</v>
      </c>
      <c r="E50" s="4">
        <v>900</v>
      </c>
      <c r="F50" s="1">
        <v>900</v>
      </c>
      <c r="G50" s="40">
        <v>900</v>
      </c>
      <c r="H50" s="18">
        <v>566.75</v>
      </c>
      <c r="I50" s="17">
        <v>566.75</v>
      </c>
      <c r="J50" s="18">
        <v>566.75</v>
      </c>
      <c r="K50" s="18">
        <v>566.75</v>
      </c>
      <c r="L50" s="21">
        <v>566.75</v>
      </c>
      <c r="M50" s="21">
        <v>566.75</v>
      </c>
      <c r="N50" s="58">
        <v>566.75</v>
      </c>
      <c r="O50" s="65">
        <v>566.75</v>
      </c>
      <c r="P50" s="65">
        <v>667</v>
      </c>
    </row>
    <row r="51" spans="1:16" x14ac:dyDescent="0.3">
      <c r="A51" s="2" t="s">
        <v>57</v>
      </c>
      <c r="B51" s="1">
        <v>995</v>
      </c>
      <c r="C51" s="3">
        <v>995</v>
      </c>
      <c r="D51" s="3">
        <v>995</v>
      </c>
      <c r="E51" s="4">
        <v>995</v>
      </c>
      <c r="F51" s="1">
        <v>995</v>
      </c>
      <c r="G51" s="40">
        <v>995</v>
      </c>
      <c r="H51" s="18">
        <v>627</v>
      </c>
      <c r="I51" s="17">
        <v>627</v>
      </c>
      <c r="J51" s="18">
        <v>627</v>
      </c>
      <c r="K51" s="18">
        <v>627</v>
      </c>
      <c r="L51" s="58">
        <v>627</v>
      </c>
      <c r="M51" s="58">
        <v>627</v>
      </c>
      <c r="N51" s="58">
        <v>627</v>
      </c>
      <c r="O51" s="65">
        <v>627</v>
      </c>
      <c r="P51" s="65">
        <v>627</v>
      </c>
    </row>
    <row r="52" spans="1:16" x14ac:dyDescent="0.3">
      <c r="A52" s="2" t="s">
        <v>58</v>
      </c>
      <c r="B52" s="1">
        <v>1775</v>
      </c>
      <c r="C52" s="3">
        <v>1775</v>
      </c>
      <c r="D52" s="3">
        <v>1775</v>
      </c>
      <c r="E52" s="4">
        <v>1775</v>
      </c>
      <c r="F52" s="1">
        <v>1775</v>
      </c>
      <c r="G52" s="40">
        <v>1775</v>
      </c>
      <c r="H52" s="18">
        <v>1118</v>
      </c>
      <c r="I52" s="17">
        <v>1118</v>
      </c>
      <c r="J52" s="18">
        <v>1295</v>
      </c>
      <c r="K52" s="18">
        <v>1295</v>
      </c>
      <c r="L52" s="58">
        <v>1295</v>
      </c>
      <c r="M52" s="58">
        <v>1295</v>
      </c>
      <c r="N52" s="58">
        <v>1295</v>
      </c>
      <c r="O52" s="65">
        <v>1295</v>
      </c>
      <c r="P52" s="65">
        <v>1295</v>
      </c>
    </row>
    <row r="53" spans="1:16" x14ac:dyDescent="0.3">
      <c r="A53" s="2" t="s">
        <v>59</v>
      </c>
      <c r="B53" s="1">
        <v>1150</v>
      </c>
      <c r="C53" s="3">
        <v>1150</v>
      </c>
      <c r="D53" s="3">
        <v>1750</v>
      </c>
      <c r="E53" s="4">
        <v>1750</v>
      </c>
      <c r="F53" s="1">
        <v>1650</v>
      </c>
      <c r="G53" s="40">
        <v>1550</v>
      </c>
      <c r="H53" s="18">
        <v>944</v>
      </c>
      <c r="I53" s="17">
        <v>944</v>
      </c>
      <c r="J53" s="18">
        <v>944</v>
      </c>
      <c r="K53" s="18">
        <v>944</v>
      </c>
      <c r="L53" s="58">
        <v>944</v>
      </c>
      <c r="M53" s="58">
        <v>944</v>
      </c>
      <c r="N53" s="58">
        <v>944</v>
      </c>
      <c r="O53" s="65">
        <v>944</v>
      </c>
      <c r="P53" s="65">
        <v>944</v>
      </c>
    </row>
    <row r="54" spans="1:16" x14ac:dyDescent="0.3">
      <c r="A54" s="2" t="s">
        <v>60</v>
      </c>
      <c r="B54" s="1">
        <v>1600</v>
      </c>
      <c r="C54" s="3">
        <v>1600</v>
      </c>
      <c r="D54" s="3">
        <v>1600</v>
      </c>
      <c r="E54" s="4">
        <v>1600</v>
      </c>
      <c r="F54" s="1">
        <v>1600</v>
      </c>
      <c r="G54" s="40">
        <v>1600</v>
      </c>
      <c r="H54" s="18">
        <v>1007.56</v>
      </c>
      <c r="I54" s="17">
        <v>1007.56</v>
      </c>
      <c r="J54" s="18">
        <v>1007.56</v>
      </c>
      <c r="K54" s="18">
        <v>1007.56</v>
      </c>
      <c r="L54" s="58">
        <v>1007.56</v>
      </c>
      <c r="M54" s="58">
        <v>1007.56</v>
      </c>
      <c r="N54" s="58">
        <v>1007.56</v>
      </c>
      <c r="O54" s="65">
        <v>1007.56</v>
      </c>
      <c r="P54" s="65">
        <v>1007.56</v>
      </c>
    </row>
    <row r="55" spans="1:16" x14ac:dyDescent="0.3">
      <c r="A55" s="2" t="s">
        <v>61</v>
      </c>
      <c r="B55" s="1">
        <v>1300</v>
      </c>
      <c r="C55" s="3">
        <v>1300</v>
      </c>
      <c r="D55" s="3">
        <v>1300</v>
      </c>
      <c r="E55" s="4">
        <v>1300</v>
      </c>
      <c r="F55" s="1">
        <v>1300</v>
      </c>
      <c r="G55" s="40">
        <v>1300</v>
      </c>
      <c r="H55" s="18">
        <v>819</v>
      </c>
      <c r="I55" s="17">
        <v>819</v>
      </c>
      <c r="J55" s="18">
        <v>819</v>
      </c>
      <c r="K55" s="18">
        <v>819</v>
      </c>
      <c r="L55" s="58">
        <v>819</v>
      </c>
      <c r="M55" s="58">
        <v>819</v>
      </c>
      <c r="N55" s="58">
        <v>819</v>
      </c>
      <c r="O55" s="65">
        <v>819</v>
      </c>
      <c r="P55" s="65">
        <v>819</v>
      </c>
    </row>
    <row r="56" spans="1:16" x14ac:dyDescent="0.3">
      <c r="A56" s="2" t="s">
        <v>62</v>
      </c>
      <c r="B56" s="1">
        <v>1800</v>
      </c>
      <c r="C56" s="3">
        <v>1800</v>
      </c>
      <c r="D56" s="3">
        <v>1800</v>
      </c>
      <c r="E56" s="4">
        <v>1800</v>
      </c>
      <c r="F56" s="1">
        <v>1800</v>
      </c>
      <c r="G56" s="40">
        <v>1800</v>
      </c>
      <c r="H56" s="18">
        <v>1134</v>
      </c>
      <c r="I56" s="17">
        <v>1134</v>
      </c>
      <c r="J56" s="18">
        <v>1134</v>
      </c>
      <c r="K56" s="18">
        <v>1134</v>
      </c>
      <c r="L56" s="58">
        <v>1134</v>
      </c>
      <c r="M56" s="58">
        <v>1134</v>
      </c>
      <c r="N56" s="58">
        <v>1134</v>
      </c>
      <c r="O56" s="65">
        <v>1134</v>
      </c>
      <c r="P56" s="65">
        <v>1134</v>
      </c>
    </row>
    <row r="57" spans="1:16" x14ac:dyDescent="0.3">
      <c r="A57" s="2" t="s">
        <v>63</v>
      </c>
      <c r="B57" s="1">
        <v>1400</v>
      </c>
      <c r="C57" s="3">
        <v>1400</v>
      </c>
      <c r="D57" s="3">
        <v>1400</v>
      </c>
      <c r="E57" s="4">
        <v>1400</v>
      </c>
      <c r="F57" s="1">
        <v>1400</v>
      </c>
      <c r="G57" s="40">
        <v>1400</v>
      </c>
      <c r="H57" s="18">
        <v>881.61</v>
      </c>
      <c r="I57" s="17">
        <v>881.61</v>
      </c>
      <c r="J57" s="21">
        <v>881.61</v>
      </c>
      <c r="K57" s="21">
        <v>881.61</v>
      </c>
      <c r="L57" s="58">
        <v>881.61</v>
      </c>
      <c r="M57" s="58">
        <v>881.61</v>
      </c>
      <c r="N57" s="58">
        <v>881.61</v>
      </c>
      <c r="O57" s="65">
        <v>881.61</v>
      </c>
      <c r="P57" s="65">
        <v>881.61</v>
      </c>
    </row>
    <row r="58" spans="1:16" x14ac:dyDescent="0.3">
      <c r="A58" s="2" t="s">
        <v>64</v>
      </c>
      <c r="B58" s="1">
        <v>1950</v>
      </c>
      <c r="C58" s="3">
        <v>1950</v>
      </c>
      <c r="D58" s="3">
        <v>1950</v>
      </c>
      <c r="E58" s="4">
        <v>1950</v>
      </c>
      <c r="F58" s="1">
        <v>1950</v>
      </c>
      <c r="G58" s="40">
        <v>1950</v>
      </c>
      <c r="H58" s="18">
        <v>1228</v>
      </c>
      <c r="I58" s="17">
        <v>1228</v>
      </c>
      <c r="J58" s="21">
        <v>1228</v>
      </c>
      <c r="K58" s="21">
        <v>1228</v>
      </c>
      <c r="L58" s="58">
        <v>1228</v>
      </c>
      <c r="M58" s="58">
        <v>1228</v>
      </c>
      <c r="N58" s="58">
        <v>1228</v>
      </c>
      <c r="O58" s="65">
        <v>1228</v>
      </c>
      <c r="P58" s="65">
        <v>1228</v>
      </c>
    </row>
    <row r="59" spans="1:16" x14ac:dyDescent="0.3">
      <c r="A59" s="2" t="s">
        <v>65</v>
      </c>
      <c r="B59" s="1">
        <v>950</v>
      </c>
      <c r="C59" s="3">
        <v>950</v>
      </c>
      <c r="D59" s="3">
        <v>950</v>
      </c>
      <c r="E59" s="4">
        <v>950</v>
      </c>
      <c r="F59" s="1">
        <v>950</v>
      </c>
      <c r="G59" s="40">
        <v>950</v>
      </c>
      <c r="H59" s="18">
        <v>598</v>
      </c>
      <c r="I59" s="17">
        <v>598</v>
      </c>
      <c r="J59" s="21">
        <v>875</v>
      </c>
      <c r="K59" s="21">
        <v>875</v>
      </c>
      <c r="L59" s="58">
        <v>875</v>
      </c>
      <c r="M59" s="58">
        <v>875</v>
      </c>
      <c r="N59" s="60">
        <v>787</v>
      </c>
      <c r="O59" s="65" t="s">
        <v>42</v>
      </c>
      <c r="P59" s="65"/>
    </row>
    <row r="60" spans="1:16" x14ac:dyDescent="0.3">
      <c r="A60" s="2" t="s">
        <v>66</v>
      </c>
      <c r="B60" s="1">
        <v>1550</v>
      </c>
      <c r="C60" s="3">
        <v>1550</v>
      </c>
      <c r="D60" s="3">
        <v>1700</v>
      </c>
      <c r="E60" s="4">
        <v>1700</v>
      </c>
      <c r="F60" s="1">
        <v>1700</v>
      </c>
      <c r="G60" s="40">
        <v>1700</v>
      </c>
      <c r="H60" s="18">
        <v>1071</v>
      </c>
      <c r="I60" s="17">
        <v>1071</v>
      </c>
      <c r="J60" s="21">
        <v>1071</v>
      </c>
      <c r="K60" s="21">
        <v>1071</v>
      </c>
      <c r="L60" s="58">
        <v>1071</v>
      </c>
      <c r="M60" s="58">
        <v>1071</v>
      </c>
      <c r="N60" s="58">
        <v>1071</v>
      </c>
      <c r="O60" s="65">
        <v>1071</v>
      </c>
      <c r="P60" s="65">
        <v>1071</v>
      </c>
    </row>
    <row r="61" spans="1:16" x14ac:dyDescent="0.3">
      <c r="A61" s="2" t="s">
        <v>67</v>
      </c>
      <c r="B61" s="1">
        <v>1100</v>
      </c>
      <c r="C61" s="3">
        <v>1100</v>
      </c>
      <c r="D61" s="3">
        <v>1100</v>
      </c>
      <c r="E61" s="4">
        <v>1100</v>
      </c>
      <c r="F61" s="1">
        <v>1100</v>
      </c>
      <c r="G61" s="40">
        <v>1100</v>
      </c>
      <c r="H61" s="18">
        <v>693</v>
      </c>
      <c r="I61" s="17">
        <v>693</v>
      </c>
      <c r="J61" s="21">
        <v>693</v>
      </c>
      <c r="K61" s="21">
        <v>693</v>
      </c>
      <c r="L61" s="58">
        <v>693</v>
      </c>
      <c r="M61" s="58">
        <v>693</v>
      </c>
      <c r="N61" s="58">
        <v>693</v>
      </c>
      <c r="O61" s="65">
        <v>693</v>
      </c>
      <c r="P61" s="65">
        <v>693</v>
      </c>
    </row>
    <row r="62" spans="1:16" x14ac:dyDescent="0.3">
      <c r="A62" s="2" t="s">
        <v>68</v>
      </c>
      <c r="B62" s="1">
        <v>1300</v>
      </c>
      <c r="C62" s="3">
        <v>1300</v>
      </c>
      <c r="D62" s="3">
        <v>1300</v>
      </c>
      <c r="E62" s="4">
        <v>1300</v>
      </c>
      <c r="F62" s="1">
        <v>1300</v>
      </c>
      <c r="G62" s="40">
        <v>1300</v>
      </c>
      <c r="H62" s="18">
        <v>818.64</v>
      </c>
      <c r="I62" s="17">
        <v>818.64</v>
      </c>
      <c r="J62" s="21">
        <v>950</v>
      </c>
      <c r="K62" s="21">
        <v>950</v>
      </c>
      <c r="L62" s="21">
        <v>950</v>
      </c>
      <c r="M62" s="21">
        <v>950</v>
      </c>
      <c r="N62" s="58">
        <v>950</v>
      </c>
      <c r="O62" s="65">
        <v>950</v>
      </c>
      <c r="P62" s="65">
        <v>950</v>
      </c>
    </row>
    <row r="63" spans="1:16" x14ac:dyDescent="0.3">
      <c r="A63" s="76" t="s">
        <v>337</v>
      </c>
      <c r="B63" s="1">
        <v>1400</v>
      </c>
      <c r="C63" s="3">
        <v>1400</v>
      </c>
      <c r="D63" s="3">
        <v>1400</v>
      </c>
      <c r="E63" s="4">
        <v>1400</v>
      </c>
      <c r="F63" s="1">
        <v>1400</v>
      </c>
      <c r="G63" s="40">
        <v>1400</v>
      </c>
      <c r="H63" s="18">
        <v>881.61</v>
      </c>
      <c r="I63" s="17">
        <v>881.61</v>
      </c>
      <c r="J63" s="21">
        <v>881.61</v>
      </c>
      <c r="K63" s="21">
        <v>881.61</v>
      </c>
      <c r="L63" s="58">
        <v>881.61</v>
      </c>
      <c r="M63" s="58">
        <v>881.61</v>
      </c>
      <c r="N63" s="58">
        <v>881.61</v>
      </c>
      <c r="O63" s="65">
        <v>881.61</v>
      </c>
      <c r="P63" s="65">
        <v>996.22</v>
      </c>
    </row>
    <row r="64" spans="1:16" x14ac:dyDescent="0.3">
      <c r="A64" s="76" t="s">
        <v>337</v>
      </c>
      <c r="B64" s="68"/>
      <c r="C64" s="68"/>
      <c r="D64" s="68"/>
      <c r="E64" s="69"/>
      <c r="F64" s="70"/>
      <c r="G64" s="71"/>
      <c r="H64" s="72"/>
      <c r="I64" s="73"/>
      <c r="J64" s="74"/>
      <c r="K64" s="74"/>
      <c r="L64" s="75"/>
      <c r="M64" s="75"/>
      <c r="N64" s="75"/>
      <c r="O64" s="75"/>
      <c r="P64" s="75">
        <v>1031.48</v>
      </c>
    </row>
    <row r="65" spans="1:16" x14ac:dyDescent="0.3">
      <c r="A65" s="76" t="s">
        <v>337</v>
      </c>
      <c r="B65" s="68"/>
      <c r="C65" s="68"/>
      <c r="D65" s="68"/>
      <c r="E65" s="69"/>
      <c r="F65" s="70"/>
      <c r="G65" s="71"/>
      <c r="H65" s="72"/>
      <c r="I65" s="73"/>
      <c r="J65" s="74"/>
      <c r="K65" s="74"/>
      <c r="L65" s="75"/>
      <c r="M65" s="75"/>
      <c r="N65" s="75"/>
      <c r="O65" s="75"/>
      <c r="P65" s="75">
        <v>1119.6400000000001</v>
      </c>
    </row>
    <row r="66" spans="1:16" x14ac:dyDescent="0.3">
      <c r="A66" s="2" t="s">
        <v>69</v>
      </c>
      <c r="B66" s="1">
        <v>1475</v>
      </c>
      <c r="C66" s="3">
        <v>1475</v>
      </c>
      <c r="D66" s="3">
        <v>1475</v>
      </c>
      <c r="E66" s="4">
        <v>1475</v>
      </c>
      <c r="F66" s="1">
        <v>1475</v>
      </c>
      <c r="G66" s="40">
        <v>1475</v>
      </c>
      <c r="H66" s="18">
        <v>929</v>
      </c>
      <c r="I66" s="17">
        <v>929</v>
      </c>
      <c r="J66" s="21">
        <v>929</v>
      </c>
      <c r="K66" s="21">
        <v>929</v>
      </c>
      <c r="L66" s="58">
        <v>929</v>
      </c>
      <c r="M66" s="58">
        <v>929</v>
      </c>
      <c r="N66" s="58">
        <v>929</v>
      </c>
      <c r="O66" s="65">
        <v>929</v>
      </c>
      <c r="P66" s="65">
        <v>929</v>
      </c>
    </row>
    <row r="67" spans="1:16" x14ac:dyDescent="0.3">
      <c r="A67" s="2" t="s">
        <v>70</v>
      </c>
      <c r="B67" s="1">
        <v>900</v>
      </c>
      <c r="C67" s="3">
        <v>900</v>
      </c>
      <c r="D67" s="3">
        <v>900</v>
      </c>
      <c r="E67" s="4">
        <v>900</v>
      </c>
      <c r="F67" s="1">
        <v>900</v>
      </c>
      <c r="G67" s="40">
        <v>900</v>
      </c>
      <c r="H67" s="18">
        <v>567</v>
      </c>
      <c r="I67" s="20">
        <v>567</v>
      </c>
      <c r="J67" s="18">
        <v>850</v>
      </c>
      <c r="K67" s="18">
        <v>850</v>
      </c>
      <c r="L67" s="21">
        <v>850</v>
      </c>
      <c r="M67" s="21">
        <v>850</v>
      </c>
      <c r="N67" s="58">
        <v>850</v>
      </c>
      <c r="O67" s="65">
        <v>850</v>
      </c>
      <c r="P67" s="65">
        <v>850</v>
      </c>
    </row>
    <row r="68" spans="1:16" x14ac:dyDescent="0.3">
      <c r="A68" s="2" t="s">
        <v>71</v>
      </c>
      <c r="B68" s="1">
        <v>750</v>
      </c>
      <c r="C68" s="3">
        <v>1300</v>
      </c>
      <c r="D68" s="3">
        <v>1300</v>
      </c>
      <c r="E68" s="4">
        <v>1300</v>
      </c>
      <c r="F68" s="1">
        <v>1300</v>
      </c>
      <c r="G68" s="40">
        <v>1200</v>
      </c>
      <c r="H68" s="18">
        <v>750</v>
      </c>
      <c r="I68" s="20">
        <v>750</v>
      </c>
      <c r="J68" s="18">
        <v>750</v>
      </c>
      <c r="K68" s="18">
        <v>750</v>
      </c>
      <c r="L68" s="58">
        <v>750</v>
      </c>
      <c r="M68" s="58">
        <v>750</v>
      </c>
      <c r="N68" s="58">
        <v>750</v>
      </c>
      <c r="O68" s="65">
        <v>750</v>
      </c>
      <c r="P68" s="65">
        <v>890</v>
      </c>
    </row>
    <row r="69" spans="1:16" x14ac:dyDescent="0.3">
      <c r="A69" s="2" t="s">
        <v>72</v>
      </c>
      <c r="B69" s="1">
        <v>1390</v>
      </c>
      <c r="C69" s="3">
        <v>1390</v>
      </c>
      <c r="D69" s="3">
        <v>1390</v>
      </c>
      <c r="E69" s="4">
        <v>1390</v>
      </c>
      <c r="F69" s="1">
        <v>1390</v>
      </c>
      <c r="G69" s="40">
        <v>1390</v>
      </c>
      <c r="H69" s="18">
        <v>875.31</v>
      </c>
      <c r="I69" s="20">
        <v>875.31</v>
      </c>
      <c r="J69" s="18">
        <v>875.31</v>
      </c>
      <c r="K69" s="18">
        <v>875.31</v>
      </c>
      <c r="L69" s="58">
        <v>875.31</v>
      </c>
      <c r="M69" s="58">
        <v>875.31</v>
      </c>
      <c r="N69" s="58">
        <v>875.31</v>
      </c>
      <c r="O69" s="65">
        <v>875.31</v>
      </c>
      <c r="P69" s="65">
        <v>875.31</v>
      </c>
    </row>
    <row r="70" spans="1:16" x14ac:dyDescent="0.3">
      <c r="A70" s="2" t="s">
        <v>73</v>
      </c>
      <c r="B70" s="1">
        <v>1560</v>
      </c>
      <c r="C70" s="3">
        <v>1560</v>
      </c>
      <c r="D70" s="3">
        <v>1560</v>
      </c>
      <c r="E70" s="4">
        <v>1560</v>
      </c>
      <c r="F70" s="1">
        <v>1560</v>
      </c>
      <c r="G70" s="40">
        <v>1560</v>
      </c>
      <c r="H70" s="18">
        <v>982</v>
      </c>
      <c r="I70" s="20">
        <v>982</v>
      </c>
      <c r="J70" s="18">
        <v>982</v>
      </c>
      <c r="K70" s="18">
        <v>982</v>
      </c>
      <c r="L70" s="58">
        <v>982</v>
      </c>
      <c r="M70" s="58">
        <v>982</v>
      </c>
      <c r="N70" s="58">
        <v>982</v>
      </c>
      <c r="O70" s="65">
        <v>982</v>
      </c>
      <c r="P70" s="65">
        <v>982</v>
      </c>
    </row>
    <row r="71" spans="1:16" x14ac:dyDescent="0.3">
      <c r="A71" s="2" t="s">
        <v>74</v>
      </c>
      <c r="B71" s="1">
        <v>2150</v>
      </c>
      <c r="C71" s="3">
        <v>2150</v>
      </c>
      <c r="D71" s="3">
        <v>2150</v>
      </c>
      <c r="E71" s="4">
        <v>2150</v>
      </c>
      <c r="F71" s="1">
        <v>2150</v>
      </c>
      <c r="G71" s="40">
        <v>2150</v>
      </c>
      <c r="H71" s="18">
        <v>1354</v>
      </c>
      <c r="I71" s="20">
        <v>1354</v>
      </c>
      <c r="J71" s="18">
        <v>1354</v>
      </c>
      <c r="K71" s="18">
        <v>1354</v>
      </c>
      <c r="L71" s="58">
        <v>1354</v>
      </c>
      <c r="M71" s="60">
        <v>1324</v>
      </c>
      <c r="N71" s="60">
        <v>1295</v>
      </c>
      <c r="O71" s="65">
        <v>1295</v>
      </c>
      <c r="P71" s="65">
        <v>1295</v>
      </c>
    </row>
    <row r="72" spans="1:16" x14ac:dyDescent="0.3">
      <c r="A72" s="48" t="s">
        <v>75</v>
      </c>
      <c r="B72" s="50"/>
      <c r="C72" s="50"/>
      <c r="D72" s="50"/>
      <c r="E72" s="51"/>
      <c r="F72" s="52"/>
      <c r="G72" s="53"/>
      <c r="H72" s="54"/>
      <c r="I72" s="55"/>
      <c r="J72" s="21"/>
      <c r="K72" s="21"/>
      <c r="L72" s="58">
        <v>900</v>
      </c>
      <c r="M72" s="58">
        <v>900</v>
      </c>
      <c r="N72" s="58">
        <v>900</v>
      </c>
      <c r="O72" s="65">
        <v>900</v>
      </c>
      <c r="P72" s="65">
        <v>1100</v>
      </c>
    </row>
    <row r="73" spans="1:16" x14ac:dyDescent="0.3">
      <c r="A73" s="48" t="s">
        <v>75</v>
      </c>
      <c r="B73" s="1">
        <v>920</v>
      </c>
      <c r="C73" s="3">
        <v>1275</v>
      </c>
      <c r="D73" s="3">
        <v>1275</v>
      </c>
      <c r="E73" s="4">
        <v>1275</v>
      </c>
      <c r="F73" s="1">
        <v>1275</v>
      </c>
      <c r="G73" s="40">
        <v>1175</v>
      </c>
      <c r="H73" s="18">
        <v>740</v>
      </c>
      <c r="I73" s="20">
        <v>740</v>
      </c>
      <c r="J73" s="18">
        <v>740</v>
      </c>
      <c r="K73" s="18">
        <v>740</v>
      </c>
      <c r="L73" s="58">
        <v>740</v>
      </c>
      <c r="M73" s="58">
        <v>740</v>
      </c>
      <c r="N73" s="58">
        <v>740</v>
      </c>
      <c r="O73" s="65">
        <v>740</v>
      </c>
      <c r="P73" s="65">
        <v>790</v>
      </c>
    </row>
    <row r="74" spans="1:16" x14ac:dyDescent="0.3">
      <c r="A74" s="2" t="s">
        <v>76</v>
      </c>
      <c r="B74" s="1">
        <v>1300</v>
      </c>
      <c r="C74" s="3">
        <v>1300</v>
      </c>
      <c r="D74" s="3">
        <v>1300</v>
      </c>
      <c r="E74" s="4">
        <v>1300</v>
      </c>
      <c r="F74" s="1">
        <v>1300</v>
      </c>
      <c r="G74" s="40">
        <v>1300</v>
      </c>
      <c r="H74" s="18">
        <v>810</v>
      </c>
      <c r="I74" s="20">
        <v>810</v>
      </c>
      <c r="J74" s="18">
        <v>810</v>
      </c>
      <c r="K74" s="18">
        <v>810</v>
      </c>
      <c r="L74" s="58">
        <v>810</v>
      </c>
      <c r="M74" s="58">
        <v>810</v>
      </c>
      <c r="N74" s="58">
        <v>810</v>
      </c>
      <c r="O74" s="65">
        <v>810</v>
      </c>
      <c r="P74" s="65">
        <v>810</v>
      </c>
    </row>
    <row r="75" spans="1:16" x14ac:dyDescent="0.3">
      <c r="A75" s="2" t="s">
        <v>77</v>
      </c>
      <c r="B75" s="1">
        <v>1150</v>
      </c>
      <c r="C75" s="3">
        <v>1150</v>
      </c>
      <c r="D75" s="3">
        <v>1150</v>
      </c>
      <c r="E75" s="4">
        <v>1150</v>
      </c>
      <c r="F75" s="1">
        <v>1150</v>
      </c>
      <c r="G75" s="40">
        <v>1150</v>
      </c>
      <c r="H75" s="18">
        <v>724</v>
      </c>
      <c r="I75" s="20">
        <v>724</v>
      </c>
      <c r="J75" s="18">
        <v>724</v>
      </c>
      <c r="K75" s="18">
        <v>724</v>
      </c>
      <c r="L75" s="58">
        <v>724</v>
      </c>
      <c r="M75" s="58">
        <v>724</v>
      </c>
      <c r="N75" s="58">
        <v>724</v>
      </c>
      <c r="O75" s="65">
        <v>724</v>
      </c>
      <c r="P75" s="65">
        <v>724</v>
      </c>
    </row>
    <row r="76" spans="1:16" x14ac:dyDescent="0.3">
      <c r="A76" s="2" t="s">
        <v>78</v>
      </c>
      <c r="B76" s="1">
        <v>850</v>
      </c>
      <c r="C76" s="3">
        <v>850</v>
      </c>
      <c r="D76" s="3">
        <v>1150</v>
      </c>
      <c r="E76" s="4">
        <v>1150</v>
      </c>
      <c r="F76" s="1">
        <v>1150</v>
      </c>
      <c r="G76" s="40">
        <v>1150</v>
      </c>
      <c r="H76" s="18">
        <v>724.18</v>
      </c>
      <c r="I76" s="20">
        <v>724.18</v>
      </c>
      <c r="J76" s="18">
        <v>724.18</v>
      </c>
      <c r="K76" s="18">
        <v>724.18</v>
      </c>
      <c r="L76" s="58">
        <v>724.18</v>
      </c>
      <c r="M76" s="58">
        <v>724.18</v>
      </c>
      <c r="N76" s="58">
        <v>724.18</v>
      </c>
      <c r="O76" s="65">
        <v>724.18</v>
      </c>
      <c r="P76" s="65">
        <v>724.18</v>
      </c>
    </row>
    <row r="77" spans="1:16" x14ac:dyDescent="0.3">
      <c r="A77" s="2" t="s">
        <v>79</v>
      </c>
      <c r="B77" s="1">
        <v>775</v>
      </c>
      <c r="C77" s="3">
        <v>775</v>
      </c>
      <c r="D77" s="3">
        <v>995</v>
      </c>
      <c r="E77" s="4">
        <v>995</v>
      </c>
      <c r="F77" s="1">
        <v>995</v>
      </c>
      <c r="G77" s="40">
        <v>995</v>
      </c>
      <c r="H77" s="18">
        <v>627</v>
      </c>
      <c r="I77" s="20">
        <v>627</v>
      </c>
      <c r="J77" s="18">
        <v>627</v>
      </c>
      <c r="K77" s="18">
        <v>627</v>
      </c>
      <c r="L77" s="58">
        <v>627</v>
      </c>
      <c r="M77" s="58">
        <v>627</v>
      </c>
      <c r="N77" s="58">
        <v>627</v>
      </c>
      <c r="O77" s="65">
        <v>627</v>
      </c>
      <c r="P77" s="65">
        <v>627</v>
      </c>
    </row>
    <row r="78" spans="1:16" x14ac:dyDescent="0.3">
      <c r="A78" s="2" t="s">
        <v>80</v>
      </c>
      <c r="B78" s="1">
        <v>1150</v>
      </c>
      <c r="C78" s="3">
        <v>1300</v>
      </c>
      <c r="D78" s="3">
        <v>1300</v>
      </c>
      <c r="E78" s="4">
        <v>1300</v>
      </c>
      <c r="F78" s="1">
        <v>1300</v>
      </c>
      <c r="G78" s="40">
        <v>1300</v>
      </c>
      <c r="H78" s="18">
        <v>818.64</v>
      </c>
      <c r="I78" s="20">
        <v>818.64</v>
      </c>
      <c r="J78" s="18">
        <v>818.64</v>
      </c>
      <c r="K78" s="18">
        <v>818.64</v>
      </c>
      <c r="L78" s="58">
        <v>818.64</v>
      </c>
      <c r="M78" s="58">
        <v>818.64</v>
      </c>
      <c r="N78" s="58">
        <v>818.64</v>
      </c>
      <c r="O78" s="65">
        <v>818.64</v>
      </c>
      <c r="P78" s="65">
        <v>1100</v>
      </c>
    </row>
    <row r="79" spans="1:16" x14ac:dyDescent="0.3">
      <c r="A79" s="2" t="s">
        <v>81</v>
      </c>
      <c r="B79" s="1">
        <v>1200</v>
      </c>
      <c r="C79" s="3">
        <v>1200</v>
      </c>
      <c r="D79" s="3">
        <v>1200</v>
      </c>
      <c r="E79" s="4">
        <v>1200</v>
      </c>
      <c r="F79" s="1">
        <v>1200</v>
      </c>
      <c r="G79" s="40">
        <v>1200</v>
      </c>
      <c r="H79" s="18">
        <v>755.67</v>
      </c>
      <c r="I79" s="20">
        <v>755.67</v>
      </c>
      <c r="J79" s="18">
        <v>755.67</v>
      </c>
      <c r="K79" s="18">
        <v>755.67</v>
      </c>
      <c r="L79" s="58">
        <v>755.67</v>
      </c>
      <c r="M79" s="58">
        <v>755.67</v>
      </c>
      <c r="N79" s="58">
        <v>755.67</v>
      </c>
      <c r="O79" s="65">
        <v>755.67</v>
      </c>
      <c r="P79" s="65">
        <v>755.67</v>
      </c>
    </row>
    <row r="80" spans="1:16" x14ac:dyDescent="0.3">
      <c r="A80" s="2" t="s">
        <v>82</v>
      </c>
      <c r="B80" s="1">
        <v>1150</v>
      </c>
      <c r="C80" s="3">
        <v>1150</v>
      </c>
      <c r="D80" s="3">
        <v>1250</v>
      </c>
      <c r="E80" s="4">
        <v>1250</v>
      </c>
      <c r="F80" s="1">
        <v>1250</v>
      </c>
      <c r="G80" s="40">
        <v>1250</v>
      </c>
      <c r="H80" s="18">
        <v>787</v>
      </c>
      <c r="I80" s="20">
        <v>787</v>
      </c>
      <c r="J80" s="18">
        <v>787</v>
      </c>
      <c r="K80" s="18">
        <v>787</v>
      </c>
      <c r="L80" s="58">
        <v>787</v>
      </c>
      <c r="M80" s="58">
        <v>787</v>
      </c>
      <c r="N80" s="58">
        <v>787</v>
      </c>
      <c r="O80" s="65">
        <v>787</v>
      </c>
      <c r="P80" s="65">
        <v>875</v>
      </c>
    </row>
    <row r="81" spans="1:16" x14ac:dyDescent="0.3">
      <c r="A81" s="2" t="s">
        <v>83</v>
      </c>
      <c r="B81" s="1">
        <v>1300</v>
      </c>
      <c r="C81" s="3">
        <v>1300</v>
      </c>
      <c r="D81" s="3">
        <v>1300</v>
      </c>
      <c r="E81" s="4">
        <v>1300</v>
      </c>
      <c r="F81" s="1">
        <v>1300</v>
      </c>
      <c r="G81" s="40">
        <v>1300</v>
      </c>
      <c r="H81" s="18">
        <v>819</v>
      </c>
      <c r="I81" s="20">
        <v>819</v>
      </c>
      <c r="J81" s="18">
        <v>819</v>
      </c>
      <c r="K81" s="18">
        <v>819</v>
      </c>
      <c r="L81" s="58">
        <v>819</v>
      </c>
      <c r="M81" s="58">
        <v>819</v>
      </c>
      <c r="N81" s="58">
        <v>819</v>
      </c>
      <c r="O81" s="65">
        <v>819</v>
      </c>
      <c r="P81" s="65">
        <v>875</v>
      </c>
    </row>
    <row r="82" spans="1:16" x14ac:dyDescent="0.3">
      <c r="A82" s="2" t="s">
        <v>84</v>
      </c>
      <c r="B82" s="1">
        <v>1300</v>
      </c>
      <c r="C82" s="3">
        <v>1300</v>
      </c>
      <c r="D82" s="3">
        <v>1500</v>
      </c>
      <c r="E82" s="4">
        <v>1500</v>
      </c>
      <c r="F82" s="1">
        <v>1500</v>
      </c>
      <c r="G82" s="40">
        <v>1500</v>
      </c>
      <c r="H82" s="18">
        <v>944</v>
      </c>
      <c r="I82" s="20">
        <v>944</v>
      </c>
      <c r="J82" s="18">
        <v>944</v>
      </c>
      <c r="K82" s="18">
        <v>944</v>
      </c>
      <c r="L82" s="58">
        <v>944</v>
      </c>
      <c r="M82" s="58">
        <v>944</v>
      </c>
      <c r="N82" s="58">
        <v>944</v>
      </c>
      <c r="O82" s="65" t="s">
        <v>42</v>
      </c>
      <c r="P82" s="65"/>
    </row>
    <row r="83" spans="1:16" x14ac:dyDescent="0.3">
      <c r="A83" s="2" t="s">
        <v>85</v>
      </c>
      <c r="B83" s="1">
        <v>1200</v>
      </c>
      <c r="C83" s="3">
        <v>1200</v>
      </c>
      <c r="D83" s="3">
        <v>1300</v>
      </c>
      <c r="E83" s="4">
        <v>1300</v>
      </c>
      <c r="F83" s="1">
        <v>1300</v>
      </c>
      <c r="G83" s="40">
        <v>1300</v>
      </c>
      <c r="H83" s="18">
        <v>818</v>
      </c>
      <c r="I83" s="20">
        <v>818</v>
      </c>
      <c r="J83" s="18">
        <v>818</v>
      </c>
      <c r="K83" s="18">
        <v>818</v>
      </c>
      <c r="L83" s="58">
        <v>818</v>
      </c>
      <c r="M83" s="58">
        <v>818</v>
      </c>
      <c r="N83" s="58">
        <v>818</v>
      </c>
      <c r="O83" s="65">
        <v>818</v>
      </c>
      <c r="P83" s="65">
        <v>900</v>
      </c>
    </row>
    <row r="84" spans="1:16" x14ac:dyDescent="0.3">
      <c r="A84" s="48" t="s">
        <v>86</v>
      </c>
      <c r="B84" s="50"/>
      <c r="C84" s="50"/>
      <c r="D84" s="50"/>
      <c r="E84" s="51"/>
      <c r="F84" s="52"/>
      <c r="G84" s="53"/>
      <c r="H84" s="54"/>
      <c r="I84" s="55"/>
      <c r="J84" s="21"/>
      <c r="K84" s="21"/>
      <c r="L84" s="58">
        <v>1037</v>
      </c>
      <c r="M84" s="58">
        <v>1037</v>
      </c>
      <c r="N84" s="58">
        <v>1037</v>
      </c>
      <c r="O84" s="65">
        <v>1037</v>
      </c>
      <c r="P84" s="65">
        <v>1037</v>
      </c>
    </row>
    <row r="85" spans="1:16" x14ac:dyDescent="0.3">
      <c r="A85" s="48" t="s">
        <v>86</v>
      </c>
      <c r="B85" s="50"/>
      <c r="C85" s="50"/>
      <c r="D85" s="50"/>
      <c r="E85" s="51"/>
      <c r="F85" s="52"/>
      <c r="G85" s="53"/>
      <c r="H85" s="54"/>
      <c r="I85" s="55"/>
      <c r="J85" s="21"/>
      <c r="K85" s="21"/>
      <c r="L85" s="58">
        <v>987</v>
      </c>
      <c r="M85" s="58">
        <v>987</v>
      </c>
      <c r="N85" s="58">
        <v>987</v>
      </c>
      <c r="O85" s="65">
        <v>987</v>
      </c>
      <c r="P85" s="65">
        <v>987</v>
      </c>
    </row>
    <row r="86" spans="1:16" x14ac:dyDescent="0.3">
      <c r="A86" s="48" t="s">
        <v>86</v>
      </c>
      <c r="B86" s="50"/>
      <c r="C86" s="50"/>
      <c r="D86" s="50"/>
      <c r="E86" s="51"/>
      <c r="F86" s="52"/>
      <c r="G86" s="53"/>
      <c r="H86" s="54"/>
      <c r="I86" s="55"/>
      <c r="J86" s="21"/>
      <c r="K86" s="21"/>
      <c r="L86" s="58">
        <v>940</v>
      </c>
      <c r="M86" s="58">
        <v>940</v>
      </c>
      <c r="N86" s="58">
        <v>940</v>
      </c>
      <c r="O86" s="65">
        <v>940</v>
      </c>
      <c r="P86" s="65">
        <v>940</v>
      </c>
    </row>
    <row r="87" spans="1:16" x14ac:dyDescent="0.3">
      <c r="A87" s="48" t="s">
        <v>86</v>
      </c>
      <c r="B87" s="50"/>
      <c r="C87" s="50"/>
      <c r="D87" s="50"/>
      <c r="E87" s="51"/>
      <c r="F87" s="52"/>
      <c r="G87" s="53"/>
      <c r="H87" s="54"/>
      <c r="I87" s="55"/>
      <c r="J87" s="21"/>
      <c r="K87" s="21"/>
      <c r="L87" s="58">
        <v>895</v>
      </c>
      <c r="M87" s="58">
        <v>895</v>
      </c>
      <c r="N87" s="58">
        <v>895</v>
      </c>
      <c r="O87" s="65">
        <v>895</v>
      </c>
      <c r="P87" s="65">
        <v>895</v>
      </c>
    </row>
    <row r="88" spans="1:16" x14ac:dyDescent="0.3">
      <c r="A88" s="48" t="s">
        <v>86</v>
      </c>
      <c r="B88" s="1">
        <v>1170</v>
      </c>
      <c r="C88" s="3">
        <v>1170</v>
      </c>
      <c r="D88" s="3">
        <v>1170</v>
      </c>
      <c r="E88" s="4">
        <v>1170</v>
      </c>
      <c r="F88" s="1">
        <v>1250</v>
      </c>
      <c r="G88" s="40">
        <v>1250</v>
      </c>
      <c r="H88" s="18">
        <v>787.15</v>
      </c>
      <c r="I88" s="20">
        <v>787.15</v>
      </c>
      <c r="J88" s="18">
        <v>787.15</v>
      </c>
      <c r="K88" s="18">
        <v>787.15</v>
      </c>
      <c r="L88" s="58">
        <v>800</v>
      </c>
      <c r="M88" s="58">
        <v>800</v>
      </c>
      <c r="N88" s="58">
        <v>800</v>
      </c>
      <c r="O88" s="65">
        <v>800</v>
      </c>
      <c r="P88" s="65">
        <v>800</v>
      </c>
    </row>
    <row r="89" spans="1:16" x14ac:dyDescent="0.3">
      <c r="A89" s="2" t="s">
        <v>87</v>
      </c>
      <c r="B89" s="1">
        <v>1500</v>
      </c>
      <c r="C89" s="3">
        <v>1500</v>
      </c>
      <c r="D89" s="3">
        <v>1500</v>
      </c>
      <c r="E89" s="4">
        <v>1500</v>
      </c>
      <c r="F89" s="1">
        <v>1500</v>
      </c>
      <c r="G89" s="40">
        <v>1500</v>
      </c>
      <c r="H89" s="18">
        <v>945</v>
      </c>
      <c r="I89" s="20">
        <v>945</v>
      </c>
      <c r="J89" s="18">
        <v>945</v>
      </c>
      <c r="K89" s="18">
        <v>945</v>
      </c>
      <c r="L89" s="58">
        <v>945</v>
      </c>
      <c r="M89" s="58">
        <v>945</v>
      </c>
      <c r="N89" s="58">
        <v>945</v>
      </c>
      <c r="O89" s="65">
        <v>945</v>
      </c>
      <c r="P89" s="65">
        <v>945</v>
      </c>
    </row>
    <row r="90" spans="1:16" x14ac:dyDescent="0.3">
      <c r="A90" s="2" t="s">
        <v>88</v>
      </c>
      <c r="B90" s="1">
        <v>1190</v>
      </c>
      <c r="C90" s="3">
        <v>1190</v>
      </c>
      <c r="D90" s="3">
        <v>1350</v>
      </c>
      <c r="E90" s="4">
        <v>1350</v>
      </c>
      <c r="F90" s="1">
        <v>1350</v>
      </c>
      <c r="G90" s="40">
        <v>1350</v>
      </c>
      <c r="H90" s="18">
        <v>850.13</v>
      </c>
      <c r="I90" s="20">
        <v>850.13</v>
      </c>
      <c r="J90" s="18">
        <v>850.13</v>
      </c>
      <c r="K90" s="18">
        <v>850.13</v>
      </c>
      <c r="L90" s="58">
        <v>850.13</v>
      </c>
      <c r="M90" s="58">
        <v>850.13</v>
      </c>
      <c r="N90" s="58">
        <v>850.13</v>
      </c>
      <c r="O90" s="65">
        <v>850.13</v>
      </c>
      <c r="P90" s="65">
        <v>850.13</v>
      </c>
    </row>
    <row r="91" spans="1:16" x14ac:dyDescent="0.3">
      <c r="A91" s="2" t="s">
        <v>89</v>
      </c>
      <c r="B91" s="1">
        <v>1450</v>
      </c>
      <c r="C91" s="3">
        <v>1450</v>
      </c>
      <c r="D91" s="3">
        <v>1450</v>
      </c>
      <c r="E91" s="4">
        <v>1450</v>
      </c>
      <c r="F91" s="1">
        <v>1450</v>
      </c>
      <c r="G91" s="40">
        <v>1450</v>
      </c>
      <c r="H91" s="18">
        <v>913.1</v>
      </c>
      <c r="I91" s="20">
        <v>913.1</v>
      </c>
      <c r="J91" s="18">
        <v>913.1</v>
      </c>
      <c r="K91" s="18">
        <v>913.1</v>
      </c>
      <c r="L91" s="58">
        <v>913.1</v>
      </c>
      <c r="M91" s="59">
        <v>1088</v>
      </c>
      <c r="N91" s="58">
        <v>1088</v>
      </c>
      <c r="O91" s="65">
        <v>1088</v>
      </c>
      <c r="P91" s="65">
        <v>1088</v>
      </c>
    </row>
    <row r="92" spans="1:16" x14ac:dyDescent="0.3">
      <c r="A92" s="2" t="s">
        <v>90</v>
      </c>
      <c r="B92" s="1">
        <v>1400</v>
      </c>
      <c r="C92" s="3">
        <v>1400</v>
      </c>
      <c r="D92" s="3">
        <v>1400</v>
      </c>
      <c r="E92" s="4">
        <v>1400</v>
      </c>
      <c r="F92" s="1">
        <v>1400</v>
      </c>
      <c r="G92" s="40">
        <v>1400</v>
      </c>
      <c r="H92" s="18">
        <v>881.62</v>
      </c>
      <c r="I92" s="20">
        <v>981.62</v>
      </c>
      <c r="J92" s="18">
        <v>981.62</v>
      </c>
      <c r="K92" s="18">
        <v>981.62</v>
      </c>
      <c r="L92" s="58">
        <v>981.62</v>
      </c>
      <c r="M92" s="58">
        <v>981.62</v>
      </c>
      <c r="N92" s="58">
        <v>981.62</v>
      </c>
      <c r="O92" s="65">
        <v>981.62</v>
      </c>
      <c r="P92" s="65">
        <v>981.62</v>
      </c>
    </row>
    <row r="93" spans="1:16" x14ac:dyDescent="0.3">
      <c r="A93" s="2" t="s">
        <v>91</v>
      </c>
      <c r="B93" s="1">
        <v>1650</v>
      </c>
      <c r="C93" s="3">
        <v>1650</v>
      </c>
      <c r="D93" s="3">
        <v>1650</v>
      </c>
      <c r="E93" s="4">
        <v>1650</v>
      </c>
      <c r="F93" s="1">
        <v>1650</v>
      </c>
      <c r="G93" s="40">
        <v>1650</v>
      </c>
      <c r="H93" s="18">
        <v>1039</v>
      </c>
      <c r="I93" s="20">
        <v>1039</v>
      </c>
      <c r="J93" s="18">
        <v>1039</v>
      </c>
      <c r="K93" s="18">
        <v>1039</v>
      </c>
      <c r="L93" s="58">
        <v>1039</v>
      </c>
      <c r="M93" s="58">
        <v>1039</v>
      </c>
      <c r="N93" s="58">
        <v>1039</v>
      </c>
      <c r="O93" s="65">
        <v>1039</v>
      </c>
      <c r="P93" s="65">
        <v>1039</v>
      </c>
    </row>
    <row r="94" spans="1:16" x14ac:dyDescent="0.3">
      <c r="A94" s="48" t="s">
        <v>92</v>
      </c>
      <c r="B94" s="80"/>
      <c r="C94" s="80"/>
      <c r="D94" s="80"/>
      <c r="E94" s="81"/>
      <c r="F94" s="82"/>
      <c r="G94" s="83"/>
      <c r="H94" s="84"/>
      <c r="I94" s="85"/>
      <c r="J94" s="86"/>
      <c r="K94" s="86"/>
      <c r="L94" s="87"/>
      <c r="M94" s="87"/>
      <c r="N94" s="87"/>
      <c r="O94" s="87"/>
      <c r="P94" s="87">
        <v>0</v>
      </c>
    </row>
    <row r="95" spans="1:16" x14ac:dyDescent="0.3">
      <c r="A95" s="48" t="s">
        <v>92</v>
      </c>
      <c r="B95" s="7"/>
      <c r="C95" s="7"/>
      <c r="D95" s="7"/>
      <c r="E95" s="4"/>
      <c r="G95" s="41"/>
      <c r="H95" s="17"/>
      <c r="I95" s="22"/>
      <c r="J95" s="18">
        <v>1070</v>
      </c>
      <c r="K95" s="18">
        <v>1070</v>
      </c>
      <c r="L95" s="58">
        <v>1070</v>
      </c>
      <c r="M95" s="58">
        <v>1070</v>
      </c>
      <c r="N95" s="58">
        <v>1070</v>
      </c>
      <c r="O95" s="65">
        <v>1070</v>
      </c>
      <c r="P95" s="65">
        <v>1100</v>
      </c>
    </row>
    <row r="96" spans="1:16" x14ac:dyDescent="0.3">
      <c r="A96" s="48" t="s">
        <v>92</v>
      </c>
      <c r="B96" s="1">
        <v>1500</v>
      </c>
      <c r="C96" s="3">
        <v>1500</v>
      </c>
      <c r="D96" s="3">
        <v>1500</v>
      </c>
      <c r="E96" s="4">
        <v>1500</v>
      </c>
      <c r="F96" s="1">
        <v>1500</v>
      </c>
      <c r="G96" s="40">
        <v>1500</v>
      </c>
      <c r="H96" s="18">
        <v>945</v>
      </c>
      <c r="I96" s="20">
        <v>945</v>
      </c>
      <c r="J96" s="21">
        <v>1000</v>
      </c>
      <c r="K96" s="21">
        <v>1000</v>
      </c>
      <c r="L96" s="58">
        <v>1000</v>
      </c>
      <c r="M96" s="58">
        <v>1000</v>
      </c>
      <c r="N96" s="58">
        <v>1000</v>
      </c>
      <c r="O96" s="65">
        <v>1000</v>
      </c>
      <c r="P96" s="65">
        <v>1030</v>
      </c>
    </row>
    <row r="97" spans="1:16" x14ac:dyDescent="0.3">
      <c r="A97" s="2" t="s">
        <v>93</v>
      </c>
      <c r="B97" s="1">
        <v>1200</v>
      </c>
      <c r="C97" s="3">
        <v>1200</v>
      </c>
      <c r="D97" s="3">
        <v>1200</v>
      </c>
      <c r="E97" s="4">
        <v>1200</v>
      </c>
      <c r="F97" s="1">
        <v>1200</v>
      </c>
      <c r="G97" s="40">
        <v>1200</v>
      </c>
      <c r="H97" s="18">
        <v>756</v>
      </c>
      <c r="I97" s="20">
        <v>756</v>
      </c>
      <c r="J97" s="18">
        <v>756</v>
      </c>
      <c r="K97" s="18">
        <v>756</v>
      </c>
      <c r="L97" s="58">
        <v>756</v>
      </c>
      <c r="M97" s="58">
        <v>756</v>
      </c>
      <c r="N97" s="58">
        <v>756</v>
      </c>
      <c r="O97" s="65">
        <v>756</v>
      </c>
      <c r="P97" s="65">
        <v>897</v>
      </c>
    </row>
    <row r="98" spans="1:16" x14ac:dyDescent="0.3">
      <c r="A98" s="2" t="s">
        <v>94</v>
      </c>
      <c r="B98" s="1">
        <v>1100</v>
      </c>
      <c r="C98" s="3">
        <v>1250</v>
      </c>
      <c r="D98" s="3">
        <v>1250</v>
      </c>
      <c r="E98" s="4">
        <v>1250</v>
      </c>
      <c r="F98" s="1">
        <v>1250</v>
      </c>
      <c r="G98" s="40">
        <v>1250</v>
      </c>
      <c r="H98" s="18">
        <v>787</v>
      </c>
      <c r="I98" s="20">
        <v>787</v>
      </c>
      <c r="J98" s="18">
        <v>895</v>
      </c>
      <c r="K98" s="18">
        <v>895</v>
      </c>
      <c r="L98" s="58">
        <v>895</v>
      </c>
      <c r="M98" s="58">
        <v>895</v>
      </c>
      <c r="N98" s="58">
        <v>895</v>
      </c>
      <c r="O98" s="65" t="s">
        <v>42</v>
      </c>
      <c r="P98" s="65"/>
    </row>
    <row r="99" spans="1:16" x14ac:dyDescent="0.3">
      <c r="A99" s="2" t="s">
        <v>95</v>
      </c>
      <c r="B99" s="1">
        <v>775</v>
      </c>
      <c r="C99" s="3">
        <v>775</v>
      </c>
      <c r="D99" s="3">
        <v>900</v>
      </c>
      <c r="E99" s="4">
        <v>900</v>
      </c>
      <c r="F99" s="1">
        <v>900</v>
      </c>
      <c r="G99" s="40">
        <v>900</v>
      </c>
      <c r="H99" s="18">
        <v>567</v>
      </c>
      <c r="I99" s="20">
        <v>567</v>
      </c>
      <c r="J99" s="18">
        <v>567</v>
      </c>
      <c r="K99" s="18">
        <v>567</v>
      </c>
      <c r="L99" s="59">
        <v>620</v>
      </c>
      <c r="M99" s="58">
        <v>620</v>
      </c>
      <c r="N99" s="58">
        <v>620</v>
      </c>
      <c r="O99" s="65">
        <v>620</v>
      </c>
      <c r="P99" s="65">
        <v>800</v>
      </c>
    </row>
    <row r="100" spans="1:16" x14ac:dyDescent="0.3">
      <c r="A100" s="2" t="s">
        <v>96</v>
      </c>
      <c r="B100" s="1">
        <v>1350</v>
      </c>
      <c r="C100" s="3">
        <v>1350</v>
      </c>
      <c r="D100" s="3">
        <v>1350</v>
      </c>
      <c r="E100" s="4">
        <v>1350</v>
      </c>
      <c r="F100" s="1">
        <v>1350</v>
      </c>
      <c r="G100" s="40">
        <v>1350</v>
      </c>
      <c r="H100" s="18">
        <v>850</v>
      </c>
      <c r="I100" s="20">
        <v>850</v>
      </c>
      <c r="J100" s="18">
        <v>850</v>
      </c>
      <c r="K100" s="18">
        <v>850</v>
      </c>
      <c r="L100" s="58">
        <v>850</v>
      </c>
      <c r="M100" s="58">
        <v>850</v>
      </c>
      <c r="N100" s="58">
        <v>850</v>
      </c>
      <c r="O100" s="65">
        <v>850</v>
      </c>
      <c r="P100" s="65">
        <v>850</v>
      </c>
    </row>
    <row r="101" spans="1:16" x14ac:dyDescent="0.3">
      <c r="A101" s="2" t="s">
        <v>97</v>
      </c>
      <c r="B101" s="1">
        <v>1200</v>
      </c>
      <c r="C101" s="3">
        <v>1200</v>
      </c>
      <c r="D101" s="3">
        <v>1200</v>
      </c>
      <c r="E101" s="4">
        <v>1200</v>
      </c>
      <c r="F101" s="1">
        <v>1200</v>
      </c>
      <c r="G101" s="40">
        <v>1200</v>
      </c>
      <c r="H101" s="18">
        <v>756</v>
      </c>
      <c r="I101" s="20">
        <v>756</v>
      </c>
      <c r="J101" s="18">
        <v>756</v>
      </c>
      <c r="K101" s="18">
        <v>850</v>
      </c>
      <c r="L101" s="21">
        <v>850</v>
      </c>
      <c r="M101" s="21">
        <v>850</v>
      </c>
      <c r="N101" s="58">
        <v>850</v>
      </c>
      <c r="O101" s="65">
        <v>850</v>
      </c>
      <c r="P101" s="65">
        <v>850</v>
      </c>
    </row>
    <row r="102" spans="1:16" x14ac:dyDescent="0.3">
      <c r="A102" s="2" t="s">
        <v>98</v>
      </c>
      <c r="B102" s="1">
        <v>1250</v>
      </c>
      <c r="C102" s="3">
        <v>1250</v>
      </c>
      <c r="D102" s="3">
        <v>1250</v>
      </c>
      <c r="E102" s="4">
        <v>1250</v>
      </c>
      <c r="F102" s="1">
        <v>1250</v>
      </c>
      <c r="G102" s="40">
        <v>1250</v>
      </c>
      <c r="H102" s="18">
        <v>787.15</v>
      </c>
      <c r="I102" s="20">
        <v>787.15</v>
      </c>
      <c r="J102" s="18">
        <v>940</v>
      </c>
      <c r="K102" s="18">
        <v>940</v>
      </c>
      <c r="L102" s="58">
        <v>940</v>
      </c>
      <c r="M102" s="58">
        <v>940</v>
      </c>
      <c r="N102" s="58">
        <v>940</v>
      </c>
      <c r="O102" s="65">
        <v>940</v>
      </c>
      <c r="P102" s="65">
        <v>940</v>
      </c>
    </row>
    <row r="103" spans="1:16" x14ac:dyDescent="0.3">
      <c r="A103" s="2" t="s">
        <v>99</v>
      </c>
      <c r="B103" s="1">
        <v>1350</v>
      </c>
      <c r="C103" s="3">
        <v>1350</v>
      </c>
      <c r="D103" s="3">
        <v>1500</v>
      </c>
      <c r="E103" s="4">
        <v>1500</v>
      </c>
      <c r="F103" s="1">
        <v>1500</v>
      </c>
      <c r="G103" s="40">
        <v>1500</v>
      </c>
      <c r="H103" s="18">
        <v>945</v>
      </c>
      <c r="I103" s="20">
        <v>945</v>
      </c>
      <c r="J103" s="18">
        <v>945</v>
      </c>
      <c r="K103" s="18">
        <v>945</v>
      </c>
      <c r="L103" s="58">
        <v>945</v>
      </c>
      <c r="M103" s="58">
        <v>945</v>
      </c>
      <c r="N103" s="58">
        <v>945</v>
      </c>
      <c r="O103" s="65">
        <v>945</v>
      </c>
      <c r="P103" s="65">
        <v>945</v>
      </c>
    </row>
    <row r="104" spans="1:16" x14ac:dyDescent="0.3">
      <c r="A104" s="2" t="s">
        <v>100</v>
      </c>
      <c r="B104" s="1">
        <v>1300</v>
      </c>
      <c r="C104" s="3">
        <v>1300</v>
      </c>
      <c r="D104" s="3">
        <v>1580</v>
      </c>
      <c r="E104" s="4">
        <v>1580</v>
      </c>
      <c r="F104" s="1">
        <v>1570</v>
      </c>
      <c r="G104" s="40">
        <v>1560</v>
      </c>
      <c r="H104" s="18">
        <v>976</v>
      </c>
      <c r="I104" s="20">
        <v>970</v>
      </c>
      <c r="J104" s="18">
        <v>920</v>
      </c>
      <c r="K104" s="18">
        <v>920</v>
      </c>
      <c r="L104" s="58">
        <v>920</v>
      </c>
      <c r="M104" s="58">
        <v>920</v>
      </c>
      <c r="N104" s="58">
        <v>920</v>
      </c>
      <c r="O104" s="65">
        <v>920</v>
      </c>
      <c r="P104" s="65">
        <v>920</v>
      </c>
    </row>
    <row r="105" spans="1:16" x14ac:dyDescent="0.3">
      <c r="A105" s="2" t="s">
        <v>101</v>
      </c>
      <c r="B105" s="1">
        <v>1250</v>
      </c>
      <c r="C105" s="3">
        <v>1250</v>
      </c>
      <c r="D105" s="3">
        <v>1350</v>
      </c>
      <c r="E105" s="4">
        <v>1350</v>
      </c>
      <c r="F105" s="1">
        <v>1350</v>
      </c>
      <c r="G105" s="40">
        <v>1300</v>
      </c>
      <c r="H105" s="18">
        <v>819</v>
      </c>
      <c r="I105" s="20">
        <v>819</v>
      </c>
      <c r="J105" s="18">
        <v>819</v>
      </c>
      <c r="K105" s="18">
        <v>819</v>
      </c>
      <c r="L105" s="58">
        <v>819</v>
      </c>
      <c r="M105" s="58">
        <v>819</v>
      </c>
      <c r="N105" s="58">
        <v>819</v>
      </c>
      <c r="O105" s="65" t="s">
        <v>42</v>
      </c>
      <c r="P105" s="65"/>
    </row>
    <row r="106" spans="1:16" x14ac:dyDescent="0.3">
      <c r="A106" s="2" t="s">
        <v>102</v>
      </c>
      <c r="B106" s="1">
        <v>1650</v>
      </c>
      <c r="C106" s="3">
        <v>1650</v>
      </c>
      <c r="D106" s="3">
        <v>1650</v>
      </c>
      <c r="E106" s="4">
        <v>1650</v>
      </c>
      <c r="F106" s="1">
        <v>1650</v>
      </c>
      <c r="G106" s="40">
        <v>1650</v>
      </c>
      <c r="H106" s="18">
        <v>1039</v>
      </c>
      <c r="I106" s="20">
        <v>1039</v>
      </c>
      <c r="J106" s="18">
        <v>1039</v>
      </c>
      <c r="K106" s="18">
        <v>1039</v>
      </c>
      <c r="L106" s="58">
        <v>1039</v>
      </c>
      <c r="M106" s="58">
        <v>1039</v>
      </c>
      <c r="N106" s="58">
        <v>1039</v>
      </c>
      <c r="O106" s="65">
        <v>1039</v>
      </c>
      <c r="P106" s="65">
        <v>1039</v>
      </c>
    </row>
    <row r="107" spans="1:16" x14ac:dyDescent="0.3">
      <c r="A107" s="2" t="s">
        <v>103</v>
      </c>
      <c r="B107" s="1">
        <v>900</v>
      </c>
      <c r="C107" s="3">
        <v>900</v>
      </c>
      <c r="D107" s="3">
        <v>900</v>
      </c>
      <c r="E107" s="4">
        <v>995</v>
      </c>
      <c r="F107" s="1">
        <v>995</v>
      </c>
      <c r="G107" s="40">
        <v>995</v>
      </c>
      <c r="H107" s="18">
        <v>627</v>
      </c>
      <c r="I107" s="20">
        <v>627</v>
      </c>
      <c r="J107" s="18">
        <v>730</v>
      </c>
      <c r="K107" s="18">
        <v>730</v>
      </c>
      <c r="L107" s="58">
        <v>730</v>
      </c>
      <c r="M107" s="58">
        <v>730</v>
      </c>
      <c r="N107" s="58">
        <v>730</v>
      </c>
      <c r="O107" s="65">
        <v>730</v>
      </c>
      <c r="P107" s="65">
        <v>900</v>
      </c>
    </row>
    <row r="108" spans="1:16" x14ac:dyDescent="0.3">
      <c r="A108" s="2" t="s">
        <v>104</v>
      </c>
      <c r="B108" s="1">
        <v>1550</v>
      </c>
      <c r="C108" s="3">
        <v>1550</v>
      </c>
      <c r="D108" s="3">
        <v>1800</v>
      </c>
      <c r="E108" s="4">
        <v>1800</v>
      </c>
      <c r="F108" s="1">
        <v>1800</v>
      </c>
      <c r="G108" s="40">
        <v>1800</v>
      </c>
      <c r="H108" s="18">
        <v>1134</v>
      </c>
      <c r="I108" s="20">
        <v>1134</v>
      </c>
      <c r="J108" s="18">
        <v>1350</v>
      </c>
      <c r="K108" s="18">
        <v>1350</v>
      </c>
      <c r="L108" s="58">
        <v>1350</v>
      </c>
      <c r="M108" s="58">
        <v>1350</v>
      </c>
      <c r="N108" s="58">
        <v>1350</v>
      </c>
      <c r="O108" s="65">
        <v>1350</v>
      </c>
      <c r="P108" s="65">
        <v>1350</v>
      </c>
    </row>
    <row r="109" spans="1:16" x14ac:dyDescent="0.3">
      <c r="A109" s="2" t="s">
        <v>105</v>
      </c>
      <c r="B109" s="1">
        <v>1350</v>
      </c>
      <c r="C109" s="3">
        <v>1350</v>
      </c>
      <c r="D109" s="3">
        <v>1495</v>
      </c>
      <c r="E109" s="4">
        <v>1495</v>
      </c>
      <c r="F109" s="1">
        <v>1495</v>
      </c>
      <c r="G109" s="40">
        <v>1495</v>
      </c>
      <c r="H109" s="18">
        <v>941.44</v>
      </c>
      <c r="I109" s="20">
        <v>941.44</v>
      </c>
      <c r="J109" s="18">
        <v>986.4</v>
      </c>
      <c r="K109" s="18">
        <v>986.4</v>
      </c>
      <c r="L109" s="58">
        <v>986.4</v>
      </c>
      <c r="M109" s="58">
        <v>986.4</v>
      </c>
      <c r="N109" s="58">
        <v>986.4</v>
      </c>
      <c r="O109" s="65">
        <v>986.4</v>
      </c>
      <c r="P109" s="65">
        <v>986.4</v>
      </c>
    </row>
    <row r="110" spans="1:16" x14ac:dyDescent="0.3">
      <c r="A110" s="2" t="s">
        <v>106</v>
      </c>
      <c r="B110" s="1">
        <v>1100</v>
      </c>
      <c r="C110" s="3">
        <v>1100</v>
      </c>
      <c r="D110" s="3">
        <v>1100</v>
      </c>
      <c r="E110" s="4">
        <v>1100</v>
      </c>
      <c r="F110" s="1">
        <v>1100</v>
      </c>
      <c r="G110" s="40">
        <v>1100</v>
      </c>
      <c r="H110" s="18">
        <v>693</v>
      </c>
      <c r="I110" s="20">
        <v>693</v>
      </c>
      <c r="J110" s="18">
        <v>693</v>
      </c>
      <c r="K110" s="18">
        <v>693</v>
      </c>
      <c r="L110" s="58">
        <v>693</v>
      </c>
      <c r="M110" s="58">
        <v>693</v>
      </c>
      <c r="N110" s="58">
        <v>693</v>
      </c>
      <c r="O110" s="65">
        <v>693</v>
      </c>
      <c r="P110" s="65">
        <v>893</v>
      </c>
    </row>
    <row r="111" spans="1:16" x14ac:dyDescent="0.3">
      <c r="A111" s="2" t="s">
        <v>107</v>
      </c>
      <c r="B111" s="1">
        <v>1600</v>
      </c>
      <c r="C111" s="3">
        <v>1600</v>
      </c>
      <c r="D111" s="3">
        <v>1600</v>
      </c>
      <c r="E111" s="4">
        <v>1600</v>
      </c>
      <c r="F111" s="1">
        <v>1600</v>
      </c>
      <c r="G111" s="40">
        <v>1600</v>
      </c>
      <c r="H111" s="18">
        <v>1007.56</v>
      </c>
      <c r="I111" s="20">
        <v>1007.56</v>
      </c>
      <c r="J111" s="18">
        <v>1007.56</v>
      </c>
      <c r="K111" s="18">
        <v>1007.56</v>
      </c>
      <c r="L111" s="58">
        <v>1007.56</v>
      </c>
      <c r="M111" s="58">
        <v>1007.56</v>
      </c>
      <c r="N111" s="58">
        <v>1007.56</v>
      </c>
      <c r="O111" s="65">
        <v>1007.56</v>
      </c>
      <c r="P111" s="65">
        <v>1007.56</v>
      </c>
    </row>
    <row r="112" spans="1:16" x14ac:dyDescent="0.3">
      <c r="A112" s="2" t="s">
        <v>108</v>
      </c>
      <c r="B112" s="1">
        <v>1050</v>
      </c>
      <c r="C112" s="3">
        <v>1050</v>
      </c>
      <c r="D112" s="3">
        <v>1450</v>
      </c>
      <c r="E112" s="4">
        <v>1450</v>
      </c>
      <c r="F112" s="1">
        <v>1450</v>
      </c>
      <c r="G112" s="40">
        <v>1450</v>
      </c>
      <c r="H112" s="18">
        <v>913</v>
      </c>
      <c r="I112" s="20">
        <v>913</v>
      </c>
      <c r="J112" s="18">
        <v>913</v>
      </c>
      <c r="K112" s="18">
        <v>913</v>
      </c>
      <c r="L112" s="58">
        <v>913</v>
      </c>
      <c r="M112" s="58">
        <v>913</v>
      </c>
      <c r="N112" s="58">
        <v>913</v>
      </c>
      <c r="O112" s="65">
        <v>913</v>
      </c>
      <c r="P112" s="65">
        <v>913</v>
      </c>
    </row>
    <row r="113" spans="1:16" x14ac:dyDescent="0.3">
      <c r="A113" s="2" t="s">
        <v>109</v>
      </c>
      <c r="B113" s="1">
        <v>1450</v>
      </c>
      <c r="C113" s="3">
        <v>1550</v>
      </c>
      <c r="D113" s="3">
        <v>1550</v>
      </c>
      <c r="E113" s="4">
        <v>1550</v>
      </c>
      <c r="F113" s="1">
        <v>1550</v>
      </c>
      <c r="G113" s="40">
        <v>1550</v>
      </c>
      <c r="H113" s="18">
        <v>976</v>
      </c>
      <c r="I113" s="20">
        <v>976</v>
      </c>
      <c r="J113" s="18">
        <v>976</v>
      </c>
      <c r="K113" s="18">
        <v>976</v>
      </c>
      <c r="L113" s="58">
        <v>976</v>
      </c>
      <c r="M113" s="58">
        <v>976</v>
      </c>
      <c r="N113" s="58">
        <v>976</v>
      </c>
      <c r="O113" s="65">
        <v>976</v>
      </c>
      <c r="P113" s="65">
        <v>976</v>
      </c>
    </row>
    <row r="114" spans="1:16" x14ac:dyDescent="0.3">
      <c r="A114" s="2" t="s">
        <v>110</v>
      </c>
      <c r="B114" s="1">
        <v>1400</v>
      </c>
      <c r="C114" s="3">
        <v>1400</v>
      </c>
      <c r="D114" s="3">
        <v>1400</v>
      </c>
      <c r="E114" s="4">
        <v>1400</v>
      </c>
      <c r="F114" s="1">
        <v>1400</v>
      </c>
      <c r="G114" s="40">
        <v>1400</v>
      </c>
      <c r="H114" s="18">
        <v>882</v>
      </c>
      <c r="I114" s="20">
        <v>882</v>
      </c>
      <c r="J114" s="18">
        <v>882</v>
      </c>
      <c r="K114" s="18">
        <v>882</v>
      </c>
      <c r="L114" s="58">
        <v>882</v>
      </c>
      <c r="M114" s="58">
        <v>882</v>
      </c>
      <c r="N114" s="58">
        <v>882</v>
      </c>
      <c r="O114" s="65">
        <v>882</v>
      </c>
      <c r="P114" s="65">
        <v>882</v>
      </c>
    </row>
    <row r="115" spans="1:16" x14ac:dyDescent="0.3">
      <c r="A115" s="2" t="s">
        <v>111</v>
      </c>
      <c r="B115" s="1">
        <v>1400</v>
      </c>
      <c r="C115" s="3">
        <v>1400</v>
      </c>
      <c r="D115" s="3">
        <v>1400</v>
      </c>
      <c r="E115" s="4">
        <v>1400</v>
      </c>
      <c r="F115" s="1">
        <v>1400</v>
      </c>
      <c r="G115" s="40">
        <v>1400</v>
      </c>
      <c r="H115" s="18">
        <v>882</v>
      </c>
      <c r="I115" s="20">
        <v>882</v>
      </c>
      <c r="J115" s="18">
        <v>975</v>
      </c>
      <c r="K115" s="18">
        <v>975</v>
      </c>
      <c r="L115" s="58">
        <v>975</v>
      </c>
      <c r="M115" s="58">
        <v>975</v>
      </c>
      <c r="N115" s="58">
        <v>975</v>
      </c>
      <c r="O115" s="65">
        <v>975</v>
      </c>
      <c r="P115" s="65">
        <v>995</v>
      </c>
    </row>
    <row r="116" spans="1:16" x14ac:dyDescent="0.3">
      <c r="A116" s="2" t="s">
        <v>112</v>
      </c>
      <c r="B116" s="1">
        <v>1500</v>
      </c>
      <c r="C116" s="3">
        <v>1500</v>
      </c>
      <c r="D116" s="3">
        <v>1500</v>
      </c>
      <c r="E116" s="4">
        <v>1500</v>
      </c>
      <c r="F116" s="1">
        <v>1500</v>
      </c>
      <c r="G116" s="40">
        <v>1500</v>
      </c>
      <c r="H116" s="18">
        <v>944</v>
      </c>
      <c r="I116" s="20">
        <v>944</v>
      </c>
      <c r="J116" s="18">
        <v>944</v>
      </c>
      <c r="K116" s="18">
        <v>944</v>
      </c>
      <c r="L116" s="58">
        <v>944</v>
      </c>
      <c r="M116" s="58">
        <v>944</v>
      </c>
      <c r="N116" s="58">
        <v>944</v>
      </c>
      <c r="O116" s="65">
        <v>944</v>
      </c>
      <c r="P116" s="65">
        <v>944</v>
      </c>
    </row>
    <row r="117" spans="1:16" x14ac:dyDescent="0.3">
      <c r="A117" s="48" t="s">
        <v>113</v>
      </c>
      <c r="B117" s="1">
        <v>1200</v>
      </c>
      <c r="C117" s="3">
        <v>1200</v>
      </c>
      <c r="D117" s="3">
        <v>1200</v>
      </c>
      <c r="E117" s="4">
        <v>1200</v>
      </c>
      <c r="F117" s="1">
        <v>1200</v>
      </c>
      <c r="G117" s="40">
        <v>1200</v>
      </c>
      <c r="H117" s="18">
        <v>756</v>
      </c>
      <c r="I117" s="20">
        <v>756</v>
      </c>
      <c r="J117" s="18">
        <v>756</v>
      </c>
      <c r="K117" s="18">
        <v>756</v>
      </c>
      <c r="L117" s="58">
        <v>756</v>
      </c>
      <c r="M117" s="58">
        <v>756</v>
      </c>
      <c r="N117" s="58">
        <v>756</v>
      </c>
      <c r="O117" s="65">
        <v>756</v>
      </c>
      <c r="P117" s="65">
        <v>756</v>
      </c>
    </row>
    <row r="118" spans="1:16" x14ac:dyDescent="0.3">
      <c r="A118" s="48" t="s">
        <v>113</v>
      </c>
      <c r="B118" s="50"/>
      <c r="C118" s="50"/>
      <c r="D118" s="50"/>
      <c r="E118" s="51"/>
      <c r="F118" s="52"/>
      <c r="G118" s="53"/>
      <c r="H118" s="54"/>
      <c r="I118" s="55"/>
      <c r="J118" s="21"/>
      <c r="K118" s="21"/>
      <c r="L118" s="58"/>
      <c r="M118" s="58">
        <v>0</v>
      </c>
      <c r="N118" s="58">
        <v>0</v>
      </c>
      <c r="O118" s="65">
        <v>0</v>
      </c>
      <c r="P118" s="65">
        <v>0</v>
      </c>
    </row>
    <row r="119" spans="1:16" x14ac:dyDescent="0.3">
      <c r="A119" s="2" t="s">
        <v>114</v>
      </c>
      <c r="B119" s="1">
        <v>1400</v>
      </c>
      <c r="C119" s="3">
        <v>1400</v>
      </c>
      <c r="D119" s="3">
        <v>1450</v>
      </c>
      <c r="E119" s="4">
        <v>1450</v>
      </c>
      <c r="F119" s="1">
        <v>1450</v>
      </c>
      <c r="G119" s="40">
        <v>1450</v>
      </c>
      <c r="H119" s="18">
        <v>913</v>
      </c>
      <c r="I119" s="20">
        <v>913</v>
      </c>
      <c r="J119" s="18">
        <v>913</v>
      </c>
      <c r="K119" s="18">
        <v>913</v>
      </c>
      <c r="L119" s="58">
        <v>913</v>
      </c>
      <c r="M119" s="58">
        <v>913</v>
      </c>
      <c r="N119" s="58">
        <v>913</v>
      </c>
      <c r="O119" s="65" t="s">
        <v>42</v>
      </c>
      <c r="P119" s="65"/>
    </row>
    <row r="120" spans="1:16" x14ac:dyDescent="0.3">
      <c r="A120" s="2" t="s">
        <v>115</v>
      </c>
      <c r="B120" s="1">
        <v>1350</v>
      </c>
      <c r="C120" s="3">
        <v>1350</v>
      </c>
      <c r="D120" s="3">
        <v>1350</v>
      </c>
      <c r="E120" s="4">
        <v>1350</v>
      </c>
      <c r="F120" s="1">
        <v>1350</v>
      </c>
      <c r="G120" s="40">
        <v>1350</v>
      </c>
      <c r="H120" s="18">
        <v>850</v>
      </c>
      <c r="I120" s="20">
        <v>850</v>
      </c>
      <c r="J120" s="18">
        <v>850</v>
      </c>
      <c r="K120" s="18">
        <v>850</v>
      </c>
      <c r="L120" s="58">
        <v>850</v>
      </c>
      <c r="M120" s="58">
        <v>850</v>
      </c>
      <c r="N120" s="58">
        <v>850</v>
      </c>
      <c r="O120" s="65">
        <v>850</v>
      </c>
      <c r="P120" s="65">
        <v>850</v>
      </c>
    </row>
    <row r="121" spans="1:16" x14ac:dyDescent="0.3">
      <c r="A121" s="2" t="s">
        <v>116</v>
      </c>
      <c r="B121" s="1">
        <v>1150</v>
      </c>
      <c r="C121" s="3">
        <v>1150</v>
      </c>
      <c r="D121" s="3">
        <v>1150</v>
      </c>
      <c r="E121" s="4">
        <v>1150</v>
      </c>
      <c r="F121" s="1">
        <v>1150</v>
      </c>
      <c r="G121" s="40">
        <v>1150</v>
      </c>
      <c r="H121" s="18">
        <v>723</v>
      </c>
      <c r="I121" s="20">
        <v>723</v>
      </c>
      <c r="J121" s="18">
        <v>728</v>
      </c>
      <c r="K121" s="18">
        <v>728</v>
      </c>
      <c r="L121" s="58">
        <v>728</v>
      </c>
      <c r="M121" s="58">
        <v>728</v>
      </c>
      <c r="N121" s="58">
        <v>728</v>
      </c>
      <c r="O121" s="65">
        <v>728</v>
      </c>
      <c r="P121" s="65">
        <v>728</v>
      </c>
    </row>
    <row r="122" spans="1:16" x14ac:dyDescent="0.3">
      <c r="A122" s="2" t="s">
        <v>117</v>
      </c>
      <c r="B122" s="1">
        <v>1600</v>
      </c>
      <c r="C122" s="3">
        <v>1600</v>
      </c>
      <c r="D122" s="3">
        <v>1600</v>
      </c>
      <c r="E122" s="4">
        <v>1600</v>
      </c>
      <c r="F122" s="1">
        <v>1600</v>
      </c>
      <c r="G122" s="40">
        <v>1600</v>
      </c>
      <c r="H122" s="18">
        <v>1007.56</v>
      </c>
      <c r="I122" s="20">
        <v>1007.56</v>
      </c>
      <c r="J122" s="18">
        <v>1007.56</v>
      </c>
      <c r="K122" s="18">
        <v>1007.56</v>
      </c>
      <c r="L122" s="58">
        <v>1007.56</v>
      </c>
      <c r="M122" s="58">
        <v>1007.56</v>
      </c>
      <c r="N122" s="58">
        <v>1007.56</v>
      </c>
      <c r="O122" s="65">
        <v>1007.56</v>
      </c>
      <c r="P122" s="65">
        <v>1060</v>
      </c>
    </row>
    <row r="123" spans="1:16" x14ac:dyDescent="0.3">
      <c r="A123" s="76" t="s">
        <v>338</v>
      </c>
      <c r="B123" s="1">
        <v>1400</v>
      </c>
      <c r="C123" s="3">
        <v>1400</v>
      </c>
      <c r="D123" s="3">
        <v>1400</v>
      </c>
      <c r="E123" s="4">
        <v>1400</v>
      </c>
      <c r="F123" s="1">
        <v>1400</v>
      </c>
      <c r="G123" s="40">
        <v>1400</v>
      </c>
      <c r="H123" s="18">
        <v>882</v>
      </c>
      <c r="I123" s="20">
        <v>882</v>
      </c>
      <c r="J123" s="18">
        <v>935</v>
      </c>
      <c r="K123" s="18">
        <v>935</v>
      </c>
      <c r="L123" s="58">
        <v>935</v>
      </c>
      <c r="M123" s="58">
        <v>935</v>
      </c>
      <c r="N123" s="58">
        <v>935</v>
      </c>
      <c r="O123" s="65">
        <v>935</v>
      </c>
      <c r="P123" s="65">
        <v>935</v>
      </c>
    </row>
    <row r="124" spans="1:16" x14ac:dyDescent="0.3">
      <c r="A124" s="76" t="s">
        <v>338</v>
      </c>
      <c r="B124" s="68"/>
      <c r="C124" s="68"/>
      <c r="D124" s="68"/>
      <c r="E124" s="69"/>
      <c r="F124" s="70"/>
      <c r="G124" s="71"/>
      <c r="H124" s="72"/>
      <c r="I124" s="73"/>
      <c r="J124" s="74"/>
      <c r="K124" s="74"/>
      <c r="L124" s="75"/>
      <c r="M124" s="75"/>
      <c r="N124" s="75"/>
      <c r="O124" s="75"/>
      <c r="P124" s="75">
        <v>1206.1500000000001</v>
      </c>
    </row>
    <row r="125" spans="1:16" x14ac:dyDescent="0.3">
      <c r="A125" s="76" t="s">
        <v>338</v>
      </c>
      <c r="B125" s="68"/>
      <c r="C125" s="68"/>
      <c r="D125" s="68"/>
      <c r="E125" s="69"/>
      <c r="F125" s="70"/>
      <c r="G125" s="71"/>
      <c r="H125" s="72"/>
      <c r="I125" s="73"/>
      <c r="J125" s="74"/>
      <c r="K125" s="74"/>
      <c r="L125" s="75"/>
      <c r="M125" s="75"/>
      <c r="N125" s="75"/>
      <c r="O125" s="75"/>
      <c r="P125" s="75">
        <v>1252.9000000000001</v>
      </c>
    </row>
    <row r="126" spans="1:16" x14ac:dyDescent="0.3">
      <c r="A126" s="76" t="s">
        <v>338</v>
      </c>
      <c r="B126" s="68"/>
      <c r="C126" s="68"/>
      <c r="D126" s="68"/>
      <c r="E126" s="69"/>
      <c r="F126" s="70"/>
      <c r="G126" s="71"/>
      <c r="H126" s="72"/>
      <c r="I126" s="73"/>
      <c r="J126" s="74"/>
      <c r="K126" s="74"/>
      <c r="L126" s="75"/>
      <c r="M126" s="75"/>
      <c r="N126" s="75"/>
      <c r="O126" s="75"/>
      <c r="P126" s="75">
        <v>1280.95</v>
      </c>
    </row>
    <row r="127" spans="1:16" x14ac:dyDescent="0.3">
      <c r="A127" s="76" t="s">
        <v>338</v>
      </c>
      <c r="B127" s="68"/>
      <c r="C127" s="68"/>
      <c r="D127" s="68"/>
      <c r="E127" s="69"/>
      <c r="F127" s="70"/>
      <c r="G127" s="71"/>
      <c r="H127" s="72"/>
      <c r="I127" s="73"/>
      <c r="J127" s="74"/>
      <c r="K127" s="74"/>
      <c r="L127" s="75"/>
      <c r="M127" s="75"/>
      <c r="N127" s="75"/>
      <c r="O127" s="75"/>
      <c r="P127" s="75">
        <v>1317.68</v>
      </c>
    </row>
    <row r="128" spans="1:16" x14ac:dyDescent="0.3">
      <c r="A128" s="2" t="s">
        <v>118</v>
      </c>
      <c r="B128" s="1">
        <v>1850</v>
      </c>
      <c r="C128" s="3">
        <v>1850</v>
      </c>
      <c r="D128" s="3">
        <v>1850</v>
      </c>
      <c r="E128" s="4">
        <v>1850</v>
      </c>
      <c r="F128" s="1">
        <v>1850</v>
      </c>
      <c r="G128" s="40">
        <v>1850</v>
      </c>
      <c r="H128" s="18">
        <v>1164</v>
      </c>
      <c r="I128" s="20">
        <v>1164</v>
      </c>
      <c r="J128" s="18">
        <v>1215</v>
      </c>
      <c r="K128" s="18">
        <v>1215</v>
      </c>
      <c r="L128" s="58">
        <v>1215</v>
      </c>
      <c r="M128" s="58">
        <v>1215</v>
      </c>
      <c r="N128" s="58">
        <v>1215</v>
      </c>
      <c r="O128" s="65">
        <v>1215</v>
      </c>
      <c r="P128" s="65">
        <v>1215</v>
      </c>
    </row>
    <row r="129" spans="1:16" x14ac:dyDescent="0.3">
      <c r="A129" s="2" t="s">
        <v>119</v>
      </c>
      <c r="B129" s="1">
        <v>1250</v>
      </c>
      <c r="C129" s="3">
        <v>1250</v>
      </c>
      <c r="D129" s="3">
        <v>1250</v>
      </c>
      <c r="E129" s="4">
        <v>1250</v>
      </c>
      <c r="F129" s="1">
        <v>1250</v>
      </c>
      <c r="G129" s="40">
        <v>1250</v>
      </c>
      <c r="H129" s="18">
        <v>787</v>
      </c>
      <c r="I129" s="20">
        <v>787</v>
      </c>
      <c r="J129" s="18">
        <v>787</v>
      </c>
      <c r="K129" s="18">
        <v>787</v>
      </c>
      <c r="L129" s="58">
        <v>787</v>
      </c>
      <c r="M129" s="58">
        <v>787</v>
      </c>
      <c r="N129" s="58">
        <v>787</v>
      </c>
      <c r="O129" s="65">
        <v>787</v>
      </c>
      <c r="P129" s="65">
        <v>900</v>
      </c>
    </row>
    <row r="130" spans="1:16" x14ac:dyDescent="0.3">
      <c r="A130" s="2" t="s">
        <v>120</v>
      </c>
      <c r="B130" s="1">
        <v>950</v>
      </c>
      <c r="C130" s="3">
        <v>950</v>
      </c>
      <c r="D130" s="3">
        <v>1100</v>
      </c>
      <c r="E130" s="4">
        <v>1100</v>
      </c>
      <c r="F130" s="1">
        <v>1100</v>
      </c>
      <c r="G130" s="40">
        <v>1100</v>
      </c>
      <c r="H130" s="18">
        <v>693</v>
      </c>
      <c r="I130" s="20">
        <v>693</v>
      </c>
      <c r="J130" s="18">
        <v>693</v>
      </c>
      <c r="K130" s="18">
        <v>693</v>
      </c>
      <c r="L130" s="58">
        <v>693</v>
      </c>
      <c r="M130" s="58">
        <v>693</v>
      </c>
      <c r="N130" s="58">
        <v>693</v>
      </c>
      <c r="O130" s="65">
        <v>693</v>
      </c>
      <c r="P130" s="65">
        <v>693</v>
      </c>
    </row>
    <row r="131" spans="1:16" x14ac:dyDescent="0.3">
      <c r="A131" s="2" t="s">
        <v>121</v>
      </c>
      <c r="B131" s="1">
        <v>1450</v>
      </c>
      <c r="C131" s="3">
        <v>1450</v>
      </c>
      <c r="D131" s="3">
        <v>1450</v>
      </c>
      <c r="E131" s="4">
        <v>1450</v>
      </c>
      <c r="F131" s="1">
        <v>1450</v>
      </c>
      <c r="G131" s="40">
        <v>1450</v>
      </c>
      <c r="H131" s="18">
        <v>913</v>
      </c>
      <c r="I131" s="20">
        <v>913</v>
      </c>
      <c r="J131" s="18">
        <v>913</v>
      </c>
      <c r="K131" s="18">
        <v>913</v>
      </c>
      <c r="L131" s="58">
        <v>913</v>
      </c>
      <c r="M131" s="58">
        <v>913</v>
      </c>
      <c r="N131" s="58">
        <v>913</v>
      </c>
      <c r="O131" s="65" t="s">
        <v>42</v>
      </c>
      <c r="P131" s="65"/>
    </row>
    <row r="132" spans="1:16" x14ac:dyDescent="0.3">
      <c r="A132" s="2" t="s">
        <v>122</v>
      </c>
      <c r="B132" s="1">
        <v>1300</v>
      </c>
      <c r="C132" s="3">
        <v>1300</v>
      </c>
      <c r="D132" s="3">
        <v>1300</v>
      </c>
      <c r="E132" s="4">
        <v>1300</v>
      </c>
      <c r="F132" s="1">
        <v>1300</v>
      </c>
      <c r="G132" s="40">
        <v>1300</v>
      </c>
      <c r="H132" s="18">
        <v>818.64</v>
      </c>
      <c r="I132" s="20">
        <v>818.64</v>
      </c>
      <c r="J132" s="18">
        <v>818.64</v>
      </c>
      <c r="K132" s="18">
        <v>818.64</v>
      </c>
      <c r="L132" s="58">
        <v>818.64</v>
      </c>
      <c r="M132" s="58">
        <v>818.64</v>
      </c>
      <c r="N132" s="58">
        <v>818.64</v>
      </c>
      <c r="O132" s="65">
        <v>818.64</v>
      </c>
      <c r="P132" s="65">
        <v>818.64</v>
      </c>
    </row>
    <row r="133" spans="1:16" x14ac:dyDescent="0.3">
      <c r="A133" s="76" t="s">
        <v>339</v>
      </c>
      <c r="B133" s="1">
        <v>1600</v>
      </c>
      <c r="C133" s="3">
        <v>1800</v>
      </c>
      <c r="D133" s="3">
        <v>1800</v>
      </c>
      <c r="E133" s="4">
        <v>1800</v>
      </c>
      <c r="F133" s="1">
        <v>1800</v>
      </c>
      <c r="G133" s="40">
        <v>1800</v>
      </c>
      <c r="H133" s="18">
        <v>1133</v>
      </c>
      <c r="I133" s="20">
        <v>1133</v>
      </c>
      <c r="J133" s="18">
        <v>1133</v>
      </c>
      <c r="K133" s="18">
        <v>1133</v>
      </c>
      <c r="L133" s="58">
        <v>1133</v>
      </c>
      <c r="M133" s="58">
        <v>1133</v>
      </c>
      <c r="N133" s="58">
        <v>1133</v>
      </c>
      <c r="O133" s="65">
        <v>1133</v>
      </c>
      <c r="P133" s="65">
        <v>1133</v>
      </c>
    </row>
    <row r="134" spans="1:16" x14ac:dyDescent="0.3">
      <c r="A134" s="76" t="s">
        <v>339</v>
      </c>
      <c r="B134" s="68"/>
      <c r="C134" s="68"/>
      <c r="D134" s="68"/>
      <c r="E134" s="69"/>
      <c r="F134" s="70"/>
      <c r="G134" s="71"/>
      <c r="H134" s="72"/>
      <c r="I134" s="73"/>
      <c r="J134" s="74"/>
      <c r="K134" s="74"/>
      <c r="L134" s="75"/>
      <c r="M134" s="75"/>
      <c r="N134" s="75"/>
      <c r="O134" s="75"/>
      <c r="P134" s="75">
        <v>1200</v>
      </c>
    </row>
    <row r="135" spans="1:16" x14ac:dyDescent="0.3">
      <c r="A135" s="76" t="s">
        <v>339</v>
      </c>
      <c r="B135" s="68"/>
      <c r="C135" s="68"/>
      <c r="D135" s="68"/>
      <c r="E135" s="69"/>
      <c r="F135" s="70"/>
      <c r="G135" s="71"/>
      <c r="H135" s="72"/>
      <c r="I135" s="73"/>
      <c r="J135" s="74"/>
      <c r="K135" s="74"/>
      <c r="L135" s="75"/>
      <c r="M135" s="75"/>
      <c r="N135" s="75"/>
      <c r="O135" s="75"/>
      <c r="P135" s="75">
        <v>1300</v>
      </c>
    </row>
    <row r="136" spans="1:16" x14ac:dyDescent="0.3">
      <c r="A136" s="76" t="s">
        <v>339</v>
      </c>
      <c r="B136" s="68"/>
      <c r="C136" s="68"/>
      <c r="D136" s="68"/>
      <c r="E136" s="69"/>
      <c r="F136" s="70"/>
      <c r="G136" s="71"/>
      <c r="H136" s="72"/>
      <c r="I136" s="73"/>
      <c r="J136" s="74"/>
      <c r="K136" s="74"/>
      <c r="L136" s="75"/>
      <c r="M136" s="75"/>
      <c r="N136" s="75"/>
      <c r="O136" s="75"/>
      <c r="P136" s="75">
        <v>1350</v>
      </c>
    </row>
    <row r="137" spans="1:16" x14ac:dyDescent="0.3">
      <c r="A137" s="76" t="s">
        <v>339</v>
      </c>
      <c r="B137" s="68"/>
      <c r="C137" s="68"/>
      <c r="D137" s="68"/>
      <c r="E137" s="69"/>
      <c r="F137" s="70"/>
      <c r="G137" s="71"/>
      <c r="H137" s="72"/>
      <c r="I137" s="73"/>
      <c r="J137" s="74"/>
      <c r="K137" s="74"/>
      <c r="L137" s="75"/>
      <c r="M137" s="75"/>
      <c r="N137" s="75"/>
      <c r="O137" s="75"/>
      <c r="P137" s="75">
        <v>1400</v>
      </c>
    </row>
    <row r="138" spans="1:16" x14ac:dyDescent="0.3">
      <c r="A138" s="2" t="s">
        <v>123</v>
      </c>
      <c r="B138" s="1">
        <v>1400</v>
      </c>
      <c r="C138" s="3">
        <v>1400</v>
      </c>
      <c r="D138" s="3">
        <v>1400</v>
      </c>
      <c r="E138" s="4">
        <v>1400</v>
      </c>
      <c r="F138" s="1">
        <v>1400</v>
      </c>
      <c r="G138" s="40">
        <v>1400</v>
      </c>
      <c r="H138" s="18">
        <v>881.61</v>
      </c>
      <c r="I138" s="20">
        <v>881.61</v>
      </c>
      <c r="J138" s="18">
        <v>881.61</v>
      </c>
      <c r="K138" s="18">
        <v>881.61</v>
      </c>
      <c r="L138" s="58">
        <v>881.61</v>
      </c>
      <c r="M138" s="58">
        <v>881.61</v>
      </c>
      <c r="N138" s="58">
        <v>881.61</v>
      </c>
      <c r="O138" s="65">
        <v>881.61</v>
      </c>
      <c r="P138" s="65">
        <v>950</v>
      </c>
    </row>
    <row r="139" spans="1:16" x14ac:dyDescent="0.3">
      <c r="A139" s="2" t="s">
        <v>124</v>
      </c>
      <c r="B139" s="1">
        <v>1200</v>
      </c>
      <c r="C139" s="3">
        <v>1200</v>
      </c>
      <c r="D139" s="3">
        <v>1200</v>
      </c>
      <c r="E139" s="4">
        <v>1200</v>
      </c>
      <c r="F139" s="1">
        <v>1200</v>
      </c>
      <c r="G139" s="40">
        <v>1200</v>
      </c>
      <c r="H139" s="18">
        <v>755</v>
      </c>
      <c r="I139" s="20">
        <v>755</v>
      </c>
      <c r="J139" s="18">
        <v>755</v>
      </c>
      <c r="K139" s="18">
        <v>755</v>
      </c>
      <c r="L139" s="58">
        <v>755</v>
      </c>
      <c r="M139" s="58">
        <v>755</v>
      </c>
      <c r="N139" s="58">
        <v>755</v>
      </c>
      <c r="O139" s="65">
        <v>755</v>
      </c>
      <c r="P139" s="65">
        <v>980</v>
      </c>
    </row>
    <row r="140" spans="1:16" x14ac:dyDescent="0.3">
      <c r="A140" s="2" t="s">
        <v>125</v>
      </c>
      <c r="B140" s="1">
        <v>1475</v>
      </c>
      <c r="C140" s="3">
        <v>1475</v>
      </c>
      <c r="D140" s="3">
        <v>1475</v>
      </c>
      <c r="E140" s="4">
        <v>1475</v>
      </c>
      <c r="F140" s="1">
        <v>1475</v>
      </c>
      <c r="G140" s="40">
        <v>1475</v>
      </c>
      <c r="H140" s="18">
        <v>929</v>
      </c>
      <c r="I140" s="20">
        <v>929</v>
      </c>
      <c r="J140" s="18">
        <v>929</v>
      </c>
      <c r="K140" s="18">
        <v>929</v>
      </c>
      <c r="L140" s="58">
        <v>929</v>
      </c>
      <c r="M140" s="58">
        <v>929</v>
      </c>
      <c r="N140" s="58">
        <v>929</v>
      </c>
      <c r="O140" s="65">
        <v>929</v>
      </c>
      <c r="P140" s="65">
        <v>929</v>
      </c>
    </row>
    <row r="141" spans="1:16" x14ac:dyDescent="0.3">
      <c r="A141" s="2" t="s">
        <v>126</v>
      </c>
      <c r="B141" s="1">
        <v>1975</v>
      </c>
      <c r="C141" s="3">
        <v>1975</v>
      </c>
      <c r="D141" s="3">
        <v>1975</v>
      </c>
      <c r="E141" s="4">
        <v>1975</v>
      </c>
      <c r="F141" s="1">
        <v>1975</v>
      </c>
      <c r="G141" s="40">
        <v>1975</v>
      </c>
      <c r="H141" s="18">
        <v>1244</v>
      </c>
      <c r="I141" s="20">
        <v>1244</v>
      </c>
      <c r="J141" s="18">
        <v>1244</v>
      </c>
      <c r="K141" s="18">
        <v>1244</v>
      </c>
      <c r="L141" s="58">
        <v>1244</v>
      </c>
      <c r="M141" s="58">
        <v>1244</v>
      </c>
      <c r="N141" s="58">
        <v>1244</v>
      </c>
      <c r="O141" s="65">
        <v>1244</v>
      </c>
      <c r="P141" s="65">
        <v>1244</v>
      </c>
    </row>
    <row r="142" spans="1:16" x14ac:dyDescent="0.3">
      <c r="A142" s="2" t="s">
        <v>127</v>
      </c>
      <c r="B142" s="1">
        <v>1450</v>
      </c>
      <c r="C142" s="3">
        <v>1450</v>
      </c>
      <c r="D142" s="3">
        <v>1450</v>
      </c>
      <c r="E142" s="4">
        <v>1450</v>
      </c>
      <c r="F142" s="1">
        <v>1395</v>
      </c>
      <c r="G142" s="40">
        <v>1395</v>
      </c>
      <c r="H142" s="18">
        <v>878</v>
      </c>
      <c r="I142" s="20">
        <v>878</v>
      </c>
      <c r="J142" s="18">
        <v>878</v>
      </c>
      <c r="K142" s="18">
        <v>878</v>
      </c>
      <c r="L142" s="58">
        <v>878</v>
      </c>
      <c r="M142" s="62">
        <v>861</v>
      </c>
      <c r="N142" s="58">
        <v>861</v>
      </c>
      <c r="O142" s="65">
        <v>861</v>
      </c>
      <c r="P142" s="65">
        <v>861</v>
      </c>
    </row>
    <row r="143" spans="1:16" x14ac:dyDescent="0.3">
      <c r="A143" s="2" t="s">
        <v>128</v>
      </c>
      <c r="B143" s="1">
        <v>1000</v>
      </c>
      <c r="C143" s="3">
        <v>1000</v>
      </c>
      <c r="D143" s="3">
        <v>1000</v>
      </c>
      <c r="E143" s="4">
        <v>1000</v>
      </c>
      <c r="F143" s="1">
        <v>1000</v>
      </c>
      <c r="G143" s="40">
        <v>1000</v>
      </c>
      <c r="H143" s="18">
        <v>630</v>
      </c>
      <c r="I143" s="20">
        <v>630</v>
      </c>
      <c r="J143" s="18">
        <v>630</v>
      </c>
      <c r="K143" s="18">
        <v>630</v>
      </c>
      <c r="L143" s="58">
        <v>630</v>
      </c>
      <c r="M143" s="58">
        <v>630</v>
      </c>
      <c r="N143" s="58">
        <v>630</v>
      </c>
      <c r="O143" s="65">
        <v>630</v>
      </c>
      <c r="P143" s="65">
        <v>630</v>
      </c>
    </row>
    <row r="144" spans="1:16" x14ac:dyDescent="0.3">
      <c r="A144" s="2" t="s">
        <v>129</v>
      </c>
      <c r="B144" s="1">
        <v>1300</v>
      </c>
      <c r="C144" s="3">
        <v>1300</v>
      </c>
      <c r="D144" s="3">
        <v>1300</v>
      </c>
      <c r="E144" s="4">
        <v>1300</v>
      </c>
      <c r="F144" s="1">
        <v>1300</v>
      </c>
      <c r="G144" s="40">
        <v>1300</v>
      </c>
      <c r="H144" s="18">
        <v>818.64</v>
      </c>
      <c r="I144" s="20">
        <v>818.64</v>
      </c>
      <c r="J144" s="18">
        <v>818.64</v>
      </c>
      <c r="K144" s="18">
        <v>818.64</v>
      </c>
      <c r="L144" s="58">
        <v>818.64</v>
      </c>
      <c r="M144" s="58">
        <v>818.64</v>
      </c>
      <c r="N144" s="58">
        <v>818.64</v>
      </c>
      <c r="O144" s="65">
        <v>818.64</v>
      </c>
      <c r="P144" s="65">
        <v>896</v>
      </c>
    </row>
    <row r="145" spans="1:16" x14ac:dyDescent="0.3">
      <c r="A145" s="2" t="s">
        <v>130</v>
      </c>
      <c r="B145" s="1">
        <v>1600</v>
      </c>
      <c r="C145" s="3">
        <v>1600</v>
      </c>
      <c r="D145" s="3">
        <v>1700</v>
      </c>
      <c r="E145" s="4">
        <v>1700</v>
      </c>
      <c r="F145" s="1">
        <v>1700</v>
      </c>
      <c r="G145" s="40">
        <v>1700</v>
      </c>
      <c r="H145" s="18">
        <v>1070</v>
      </c>
      <c r="I145" s="20">
        <v>1070</v>
      </c>
      <c r="J145" s="18">
        <v>1070</v>
      </c>
      <c r="K145" s="18">
        <v>1070</v>
      </c>
      <c r="L145" s="58">
        <v>1070</v>
      </c>
      <c r="M145" s="58">
        <v>1070</v>
      </c>
      <c r="N145" s="58">
        <v>1070</v>
      </c>
      <c r="O145" s="65">
        <v>1070</v>
      </c>
      <c r="P145" s="65">
        <v>1070</v>
      </c>
    </row>
    <row r="146" spans="1:16" x14ac:dyDescent="0.3">
      <c r="A146" s="2" t="s">
        <v>131</v>
      </c>
      <c r="B146" s="1">
        <v>1500</v>
      </c>
      <c r="C146" s="3">
        <v>1500</v>
      </c>
      <c r="D146" s="3">
        <v>1500</v>
      </c>
      <c r="E146" s="4">
        <v>1500</v>
      </c>
      <c r="F146" s="1">
        <v>1500</v>
      </c>
      <c r="G146" s="40">
        <v>1500</v>
      </c>
      <c r="H146" s="18">
        <v>945</v>
      </c>
      <c r="I146" s="20">
        <v>945</v>
      </c>
      <c r="J146" s="18">
        <v>945</v>
      </c>
      <c r="K146" s="18">
        <v>945</v>
      </c>
      <c r="L146" s="58">
        <v>945</v>
      </c>
      <c r="M146" s="58">
        <v>945</v>
      </c>
      <c r="N146" s="58">
        <v>945</v>
      </c>
      <c r="O146" s="65">
        <v>945</v>
      </c>
      <c r="P146" s="65">
        <v>945</v>
      </c>
    </row>
    <row r="147" spans="1:16" x14ac:dyDescent="0.3">
      <c r="A147" s="2" t="s">
        <v>132</v>
      </c>
      <c r="B147" s="1">
        <v>1700</v>
      </c>
      <c r="C147" s="3">
        <v>1700</v>
      </c>
      <c r="D147" s="3">
        <v>1950</v>
      </c>
      <c r="E147" s="4">
        <v>1950</v>
      </c>
      <c r="F147" s="1">
        <v>1950</v>
      </c>
      <c r="G147" s="40">
        <v>1950</v>
      </c>
      <c r="H147" s="18">
        <v>1228</v>
      </c>
      <c r="I147" s="20">
        <v>1228</v>
      </c>
      <c r="J147" s="18">
        <v>1228</v>
      </c>
      <c r="K147" s="18">
        <v>1228</v>
      </c>
      <c r="L147" s="58">
        <v>1228</v>
      </c>
      <c r="M147" s="58">
        <v>1228</v>
      </c>
      <c r="N147" s="58">
        <v>1228</v>
      </c>
      <c r="O147" s="65">
        <v>1228</v>
      </c>
      <c r="P147" s="65">
        <v>1228</v>
      </c>
    </row>
    <row r="148" spans="1:16" x14ac:dyDescent="0.3">
      <c r="A148" s="2" t="s">
        <v>133</v>
      </c>
      <c r="B148" s="1">
        <v>1800</v>
      </c>
      <c r="C148" s="3">
        <v>1800</v>
      </c>
      <c r="D148" s="3">
        <v>1800</v>
      </c>
      <c r="E148" s="4">
        <v>1800</v>
      </c>
      <c r="F148" s="1">
        <v>1800</v>
      </c>
      <c r="G148" s="40">
        <v>1800</v>
      </c>
      <c r="H148" s="18">
        <v>1132.29</v>
      </c>
      <c r="I148" s="20">
        <v>1132.29</v>
      </c>
      <c r="J148" s="18">
        <v>1132.29</v>
      </c>
      <c r="K148" s="18">
        <v>1132.29</v>
      </c>
      <c r="L148" s="58">
        <v>1132.29</v>
      </c>
      <c r="M148" s="58">
        <v>1132.29</v>
      </c>
      <c r="N148" s="58">
        <v>1132.29</v>
      </c>
      <c r="O148" s="65">
        <v>1132.29</v>
      </c>
      <c r="P148" s="65">
        <v>1132.29</v>
      </c>
    </row>
    <row r="149" spans="1:16" x14ac:dyDescent="0.3">
      <c r="A149" s="2" t="s">
        <v>134</v>
      </c>
      <c r="B149" s="1">
        <v>1450</v>
      </c>
      <c r="C149" s="3">
        <v>1450</v>
      </c>
      <c r="D149" s="3">
        <v>1450</v>
      </c>
      <c r="E149" s="4">
        <v>1550</v>
      </c>
      <c r="F149" s="1">
        <v>1550</v>
      </c>
      <c r="G149" s="40">
        <v>1550</v>
      </c>
      <c r="H149" s="18">
        <v>976</v>
      </c>
      <c r="I149" s="20">
        <v>976</v>
      </c>
      <c r="J149" s="18">
        <v>976</v>
      </c>
      <c r="K149" s="18">
        <v>976</v>
      </c>
      <c r="L149" s="58">
        <v>976</v>
      </c>
      <c r="M149" s="58">
        <v>976</v>
      </c>
      <c r="N149" s="58">
        <v>976</v>
      </c>
      <c r="O149" s="65">
        <v>976</v>
      </c>
      <c r="P149" s="65">
        <v>976</v>
      </c>
    </row>
    <row r="150" spans="1:16" x14ac:dyDescent="0.3">
      <c r="A150" s="2" t="s">
        <v>135</v>
      </c>
      <c r="B150" s="1">
        <v>1100</v>
      </c>
      <c r="C150" s="3">
        <v>1100</v>
      </c>
      <c r="D150" s="3">
        <v>1100</v>
      </c>
      <c r="E150" s="4">
        <v>1100</v>
      </c>
      <c r="F150" s="1">
        <v>1100</v>
      </c>
      <c r="G150" s="40">
        <v>1100</v>
      </c>
      <c r="H150" s="18">
        <v>690</v>
      </c>
      <c r="I150" s="20">
        <v>690</v>
      </c>
      <c r="J150" s="18">
        <v>690</v>
      </c>
      <c r="K150" s="18">
        <v>690</v>
      </c>
      <c r="L150" s="58">
        <v>690</v>
      </c>
      <c r="M150" s="58">
        <v>690</v>
      </c>
      <c r="N150" s="58">
        <v>690</v>
      </c>
      <c r="O150" s="65">
        <v>690</v>
      </c>
      <c r="P150" s="65">
        <v>690</v>
      </c>
    </row>
    <row r="151" spans="1:16" x14ac:dyDescent="0.3">
      <c r="A151" s="2" t="s">
        <v>136</v>
      </c>
      <c r="B151" s="1">
        <v>950</v>
      </c>
      <c r="C151" s="3">
        <v>950</v>
      </c>
      <c r="D151" s="3">
        <v>1350</v>
      </c>
      <c r="E151" s="4">
        <v>1350</v>
      </c>
      <c r="F151" s="1">
        <v>1350</v>
      </c>
      <c r="G151" s="40">
        <v>1350</v>
      </c>
      <c r="H151" s="18">
        <v>850</v>
      </c>
      <c r="I151" s="20">
        <v>850</v>
      </c>
      <c r="J151" s="18">
        <v>850</v>
      </c>
      <c r="K151" s="18">
        <v>850</v>
      </c>
      <c r="L151" s="58">
        <v>850</v>
      </c>
      <c r="M151" s="58">
        <v>850</v>
      </c>
      <c r="N151" s="58">
        <v>850</v>
      </c>
      <c r="O151" s="65">
        <v>850</v>
      </c>
      <c r="P151" s="65">
        <v>850</v>
      </c>
    </row>
    <row r="152" spans="1:16" x14ac:dyDescent="0.3">
      <c r="A152" s="2" t="s">
        <v>137</v>
      </c>
      <c r="B152" s="1">
        <v>700</v>
      </c>
      <c r="C152" s="3">
        <v>700</v>
      </c>
      <c r="D152" s="3">
        <v>700</v>
      </c>
      <c r="E152" s="4">
        <v>875</v>
      </c>
      <c r="F152" s="1">
        <v>875</v>
      </c>
      <c r="G152" s="40">
        <v>875</v>
      </c>
      <c r="H152" s="18">
        <v>551</v>
      </c>
      <c r="I152" s="20">
        <v>551</v>
      </c>
      <c r="J152" s="18">
        <v>551</v>
      </c>
      <c r="K152" s="18">
        <v>551</v>
      </c>
      <c r="L152" s="58">
        <v>551</v>
      </c>
      <c r="M152" s="18">
        <v>589</v>
      </c>
      <c r="N152" s="58">
        <v>589</v>
      </c>
      <c r="O152" s="65">
        <v>589</v>
      </c>
      <c r="P152" s="65">
        <v>589</v>
      </c>
    </row>
    <row r="153" spans="1:16" x14ac:dyDescent="0.3">
      <c r="A153" s="76" t="s">
        <v>340</v>
      </c>
      <c r="B153" s="1">
        <v>1300</v>
      </c>
      <c r="C153" s="3">
        <v>1300</v>
      </c>
      <c r="D153" s="3">
        <v>1300</v>
      </c>
      <c r="E153" s="4">
        <v>1300</v>
      </c>
      <c r="F153" s="1">
        <v>1300</v>
      </c>
      <c r="G153" s="40">
        <v>1300</v>
      </c>
      <c r="H153" s="18">
        <v>818</v>
      </c>
      <c r="I153" s="20">
        <v>818</v>
      </c>
      <c r="J153" s="18">
        <v>818</v>
      </c>
      <c r="K153" s="18">
        <v>818</v>
      </c>
      <c r="L153" s="58">
        <v>818</v>
      </c>
      <c r="M153" s="58">
        <v>818</v>
      </c>
      <c r="N153" s="58">
        <v>818</v>
      </c>
      <c r="O153" s="65">
        <v>818</v>
      </c>
      <c r="P153" s="65">
        <v>895</v>
      </c>
    </row>
    <row r="154" spans="1:16" x14ac:dyDescent="0.3">
      <c r="A154" s="76" t="s">
        <v>340</v>
      </c>
      <c r="B154" s="68"/>
      <c r="C154" s="68"/>
      <c r="D154" s="68"/>
      <c r="E154" s="69"/>
      <c r="F154" s="70"/>
      <c r="G154" s="71"/>
      <c r="H154" s="72"/>
      <c r="I154" s="73"/>
      <c r="J154" s="74"/>
      <c r="K154" s="74"/>
      <c r="L154" s="75"/>
      <c r="M154" s="75"/>
      <c r="N154" s="75"/>
      <c r="O154" s="75"/>
      <c r="P154" s="75">
        <v>1080</v>
      </c>
    </row>
    <row r="155" spans="1:16" x14ac:dyDescent="0.3">
      <c r="A155" s="76" t="s">
        <v>340</v>
      </c>
      <c r="B155" s="68"/>
      <c r="C155" s="68"/>
      <c r="D155" s="68"/>
      <c r="E155" s="69"/>
      <c r="F155" s="70"/>
      <c r="G155" s="71"/>
      <c r="H155" s="72"/>
      <c r="I155" s="73"/>
      <c r="J155" s="74"/>
      <c r="K155" s="74"/>
      <c r="L155" s="75"/>
      <c r="M155" s="75"/>
      <c r="N155" s="75"/>
      <c r="O155" s="75"/>
      <c r="P155" s="75">
        <v>1145</v>
      </c>
    </row>
    <row r="156" spans="1:16" x14ac:dyDescent="0.3">
      <c r="A156" s="76" t="s">
        <v>340</v>
      </c>
      <c r="B156" s="68"/>
      <c r="C156" s="68"/>
      <c r="D156" s="68"/>
      <c r="E156" s="69"/>
      <c r="F156" s="70"/>
      <c r="G156" s="71"/>
      <c r="H156" s="72"/>
      <c r="I156" s="73"/>
      <c r="J156" s="74"/>
      <c r="K156" s="74"/>
      <c r="L156" s="75"/>
      <c r="M156" s="75"/>
      <c r="N156" s="75"/>
      <c r="O156" s="75"/>
      <c r="P156" s="75">
        <v>1345</v>
      </c>
    </row>
    <row r="157" spans="1:16" x14ac:dyDescent="0.3">
      <c r="A157" s="76" t="s">
        <v>341</v>
      </c>
      <c r="B157" s="1">
        <v>1200</v>
      </c>
      <c r="C157" s="3">
        <v>1200</v>
      </c>
      <c r="D157" s="3">
        <v>1200</v>
      </c>
      <c r="E157" s="4">
        <v>1200</v>
      </c>
      <c r="F157" s="1">
        <v>1200</v>
      </c>
      <c r="G157" s="40">
        <v>1200</v>
      </c>
      <c r="H157" s="18">
        <v>756</v>
      </c>
      <c r="I157" s="20">
        <v>756</v>
      </c>
      <c r="J157" s="18">
        <v>756</v>
      </c>
      <c r="K157" s="18">
        <v>756</v>
      </c>
      <c r="L157" s="21">
        <v>756</v>
      </c>
      <c r="M157" s="21">
        <v>756</v>
      </c>
      <c r="N157" s="58">
        <v>756</v>
      </c>
      <c r="O157" s="65">
        <v>756</v>
      </c>
      <c r="P157" s="65">
        <v>825</v>
      </c>
    </row>
    <row r="158" spans="1:16" x14ac:dyDescent="0.3">
      <c r="A158" s="76" t="s">
        <v>341</v>
      </c>
      <c r="B158" s="68"/>
      <c r="C158" s="68"/>
      <c r="D158" s="68"/>
      <c r="E158" s="69"/>
      <c r="F158" s="70"/>
      <c r="G158" s="71"/>
      <c r="H158" s="72"/>
      <c r="I158" s="73"/>
      <c r="J158" s="74"/>
      <c r="K158" s="74"/>
      <c r="L158" s="74"/>
      <c r="M158" s="74"/>
      <c r="N158" s="75"/>
      <c r="O158" s="75"/>
      <c r="P158" s="75">
        <v>875</v>
      </c>
    </row>
    <row r="159" spans="1:16" x14ac:dyDescent="0.3">
      <c r="A159" s="76" t="s">
        <v>341</v>
      </c>
      <c r="B159" s="68"/>
      <c r="C159" s="68"/>
      <c r="D159" s="68"/>
      <c r="E159" s="69"/>
      <c r="F159" s="70"/>
      <c r="G159" s="71"/>
      <c r="H159" s="72"/>
      <c r="I159" s="73"/>
      <c r="J159" s="74"/>
      <c r="K159" s="74"/>
      <c r="L159" s="74"/>
      <c r="M159" s="74"/>
      <c r="N159" s="75"/>
      <c r="O159" s="75"/>
      <c r="P159" s="75">
        <v>1200</v>
      </c>
    </row>
    <row r="160" spans="1:16" x14ac:dyDescent="0.3">
      <c r="A160" s="76" t="s">
        <v>341</v>
      </c>
      <c r="B160" s="68"/>
      <c r="C160" s="68"/>
      <c r="D160" s="68"/>
      <c r="E160" s="69"/>
      <c r="F160" s="70"/>
      <c r="G160" s="71"/>
      <c r="H160" s="72"/>
      <c r="I160" s="73"/>
      <c r="J160" s="74"/>
      <c r="K160" s="74"/>
      <c r="L160" s="74"/>
      <c r="M160" s="74"/>
      <c r="N160" s="75"/>
      <c r="O160" s="75"/>
      <c r="P160" s="75">
        <v>1400</v>
      </c>
    </row>
    <row r="161" spans="1:16" x14ac:dyDescent="0.3">
      <c r="A161" s="2" t="s">
        <v>138</v>
      </c>
      <c r="B161" s="1">
        <v>925</v>
      </c>
      <c r="C161" s="3">
        <v>975</v>
      </c>
      <c r="D161" s="3">
        <v>975</v>
      </c>
      <c r="E161" s="4">
        <v>975</v>
      </c>
      <c r="F161" s="1">
        <v>975</v>
      </c>
      <c r="G161" s="40">
        <v>975</v>
      </c>
      <c r="H161" s="18">
        <v>614</v>
      </c>
      <c r="I161" s="20">
        <v>614</v>
      </c>
      <c r="J161" s="18">
        <v>714</v>
      </c>
      <c r="K161" s="18">
        <v>714</v>
      </c>
      <c r="L161" s="58">
        <v>714</v>
      </c>
      <c r="M161" s="58">
        <v>714</v>
      </c>
      <c r="N161" s="58">
        <v>714</v>
      </c>
      <c r="O161" s="65">
        <v>714</v>
      </c>
      <c r="P161" s="65">
        <v>714</v>
      </c>
    </row>
    <row r="162" spans="1:16" x14ac:dyDescent="0.3">
      <c r="A162" s="2" t="s">
        <v>139</v>
      </c>
      <c r="B162" s="1">
        <v>815</v>
      </c>
      <c r="C162" s="3">
        <v>1150</v>
      </c>
      <c r="D162" s="3">
        <v>1150</v>
      </c>
      <c r="E162" s="4">
        <v>1150</v>
      </c>
      <c r="F162" s="1">
        <v>1150</v>
      </c>
      <c r="G162" s="40">
        <v>1150</v>
      </c>
      <c r="H162" s="18">
        <v>577.46</v>
      </c>
      <c r="I162" s="20">
        <v>577.46</v>
      </c>
      <c r="J162" s="18">
        <v>577.46</v>
      </c>
      <c r="K162" s="18">
        <v>577.46</v>
      </c>
      <c r="L162" s="58">
        <v>577.46</v>
      </c>
      <c r="M162" s="58">
        <v>577.46</v>
      </c>
      <c r="N162" s="58">
        <v>577.46</v>
      </c>
      <c r="O162" s="65">
        <v>577.46</v>
      </c>
      <c r="P162" s="65">
        <v>577.46</v>
      </c>
    </row>
    <row r="163" spans="1:16" x14ac:dyDescent="0.3">
      <c r="A163" s="2" t="s">
        <v>140</v>
      </c>
      <c r="B163" s="1">
        <v>1350</v>
      </c>
      <c r="C163" s="3">
        <v>1350</v>
      </c>
      <c r="D163" s="3">
        <v>1350</v>
      </c>
      <c r="E163" s="4">
        <v>1350</v>
      </c>
      <c r="F163" s="1">
        <v>1350</v>
      </c>
      <c r="G163" s="40">
        <v>1350</v>
      </c>
      <c r="H163" s="18">
        <v>890</v>
      </c>
      <c r="I163" s="20">
        <v>890</v>
      </c>
      <c r="J163" s="18">
        <v>890</v>
      </c>
      <c r="K163" s="18">
        <v>890</v>
      </c>
      <c r="L163" s="58">
        <v>890</v>
      </c>
      <c r="M163" s="58">
        <v>890</v>
      </c>
      <c r="N163" s="58">
        <v>890</v>
      </c>
      <c r="O163" s="67">
        <v>940</v>
      </c>
      <c r="P163" s="65">
        <v>940</v>
      </c>
    </row>
    <row r="164" spans="1:16" x14ac:dyDescent="0.3">
      <c r="A164" s="2" t="s">
        <v>141</v>
      </c>
      <c r="B164" s="1">
        <v>1250</v>
      </c>
      <c r="C164" s="3">
        <v>1250</v>
      </c>
      <c r="D164" s="3">
        <v>1450</v>
      </c>
      <c r="E164" s="4">
        <v>1450</v>
      </c>
      <c r="F164" s="1">
        <v>1450</v>
      </c>
      <c r="G164" s="40">
        <v>1350</v>
      </c>
      <c r="H164" s="18">
        <v>850</v>
      </c>
      <c r="I164" s="20">
        <v>850</v>
      </c>
      <c r="J164" s="18">
        <v>850</v>
      </c>
      <c r="K164" s="18">
        <v>850</v>
      </c>
      <c r="L164" s="58">
        <v>850</v>
      </c>
      <c r="M164" s="58">
        <v>850</v>
      </c>
      <c r="N164" s="58">
        <v>850</v>
      </c>
      <c r="O164" s="65">
        <v>850</v>
      </c>
      <c r="P164" s="65">
        <v>950</v>
      </c>
    </row>
    <row r="165" spans="1:16" x14ac:dyDescent="0.3">
      <c r="A165" s="2" t="s">
        <v>142</v>
      </c>
      <c r="B165" s="1">
        <v>1650</v>
      </c>
      <c r="C165" s="3">
        <v>1650</v>
      </c>
      <c r="D165" s="3">
        <v>1650</v>
      </c>
      <c r="E165" s="4">
        <v>1650</v>
      </c>
      <c r="F165" s="1">
        <v>1650</v>
      </c>
      <c r="G165" s="40">
        <v>1650</v>
      </c>
      <c r="H165" s="18">
        <v>1039</v>
      </c>
      <c r="I165" s="17" t="s">
        <v>143</v>
      </c>
      <c r="J165" s="18" t="s">
        <v>143</v>
      </c>
      <c r="K165" s="18" t="s">
        <v>143</v>
      </c>
      <c r="L165" s="18" t="s">
        <v>143</v>
      </c>
      <c r="M165" s="18" t="s">
        <v>143</v>
      </c>
      <c r="N165" s="63" t="s">
        <v>143</v>
      </c>
      <c r="O165" s="65" t="s">
        <v>143</v>
      </c>
      <c r="P165" s="65"/>
    </row>
    <row r="166" spans="1:16" x14ac:dyDescent="0.3">
      <c r="A166" s="2" t="s">
        <v>144</v>
      </c>
      <c r="B166" s="1">
        <v>1900</v>
      </c>
      <c r="C166" s="3">
        <v>1900</v>
      </c>
      <c r="D166" s="3">
        <v>1900</v>
      </c>
      <c r="E166" s="4">
        <v>1900</v>
      </c>
      <c r="F166" s="1">
        <v>1900</v>
      </c>
      <c r="G166" s="40">
        <v>1900</v>
      </c>
      <c r="H166" s="18">
        <v>1196</v>
      </c>
      <c r="I166" s="20">
        <v>1196</v>
      </c>
      <c r="J166" s="18">
        <v>1200</v>
      </c>
      <c r="K166" s="18">
        <v>1200</v>
      </c>
      <c r="L166" s="58">
        <v>1200</v>
      </c>
      <c r="M166" s="58">
        <v>1200</v>
      </c>
      <c r="N166" s="58">
        <v>1200</v>
      </c>
      <c r="O166" s="65">
        <v>1200</v>
      </c>
      <c r="P166" s="65">
        <v>1200</v>
      </c>
    </row>
    <row r="167" spans="1:16" x14ac:dyDescent="0.3">
      <c r="A167" s="2" t="s">
        <v>145</v>
      </c>
      <c r="B167" s="1">
        <v>1700</v>
      </c>
      <c r="C167" s="3">
        <v>1700</v>
      </c>
      <c r="D167" s="3">
        <v>1700</v>
      </c>
      <c r="E167" s="4">
        <v>1700</v>
      </c>
      <c r="F167" s="1">
        <v>1700</v>
      </c>
      <c r="G167" s="40">
        <v>1700</v>
      </c>
      <c r="H167" s="18">
        <v>1071</v>
      </c>
      <c r="I167" s="20">
        <v>1071</v>
      </c>
      <c r="J167" s="18">
        <v>1071</v>
      </c>
      <c r="K167" s="18">
        <v>1071</v>
      </c>
      <c r="L167" s="58">
        <v>1071</v>
      </c>
      <c r="M167" s="58">
        <v>1071</v>
      </c>
      <c r="N167" s="58">
        <v>1071</v>
      </c>
      <c r="O167" s="65">
        <v>1071</v>
      </c>
      <c r="P167" s="65">
        <v>1071</v>
      </c>
    </row>
    <row r="168" spans="1:16" x14ac:dyDescent="0.3">
      <c r="A168" s="2" t="s">
        <v>146</v>
      </c>
      <c r="B168" s="1">
        <v>1950</v>
      </c>
      <c r="C168" s="3">
        <v>1950</v>
      </c>
      <c r="D168" s="3">
        <v>1950</v>
      </c>
      <c r="E168" s="4">
        <v>1950</v>
      </c>
      <c r="F168" s="1">
        <v>1950</v>
      </c>
      <c r="G168" s="40">
        <v>1950</v>
      </c>
      <c r="H168" s="18">
        <v>1220</v>
      </c>
      <c r="I168" s="20">
        <v>1220</v>
      </c>
      <c r="J168" s="18">
        <v>1220</v>
      </c>
      <c r="K168" s="18">
        <v>1220</v>
      </c>
      <c r="L168" s="58">
        <v>1220</v>
      </c>
      <c r="M168" s="58">
        <v>1220</v>
      </c>
      <c r="N168" s="58">
        <v>1220</v>
      </c>
      <c r="O168" s="65">
        <v>1220</v>
      </c>
      <c r="P168" s="62">
        <v>1200</v>
      </c>
    </row>
    <row r="169" spans="1:16" x14ac:dyDescent="0.3">
      <c r="A169" s="76" t="s">
        <v>342</v>
      </c>
      <c r="B169" s="1">
        <v>1095</v>
      </c>
      <c r="C169" s="3">
        <v>1095</v>
      </c>
      <c r="D169" s="3">
        <v>1095</v>
      </c>
      <c r="E169" s="4">
        <v>1095</v>
      </c>
      <c r="F169" s="1">
        <v>1095</v>
      </c>
      <c r="G169" s="40">
        <v>1095</v>
      </c>
      <c r="H169" s="18">
        <v>690</v>
      </c>
      <c r="I169" s="20">
        <v>690</v>
      </c>
      <c r="J169" s="18">
        <v>690</v>
      </c>
      <c r="K169" s="18">
        <v>690</v>
      </c>
      <c r="L169" s="58">
        <v>690</v>
      </c>
      <c r="M169" s="58">
        <v>690</v>
      </c>
      <c r="N169" s="58">
        <v>690</v>
      </c>
      <c r="O169" s="65">
        <v>690</v>
      </c>
      <c r="P169" s="65">
        <v>860</v>
      </c>
    </row>
    <row r="170" spans="1:16" x14ac:dyDescent="0.3">
      <c r="A170" s="76" t="s">
        <v>342</v>
      </c>
      <c r="B170" s="68"/>
      <c r="C170" s="68"/>
      <c r="D170" s="68"/>
      <c r="E170" s="69"/>
      <c r="F170" s="70"/>
      <c r="G170" s="71"/>
      <c r="H170" s="72"/>
      <c r="I170" s="73"/>
      <c r="J170" s="74"/>
      <c r="K170" s="74"/>
      <c r="L170" s="75"/>
      <c r="M170" s="75"/>
      <c r="N170" s="75"/>
      <c r="O170" s="75"/>
      <c r="P170" s="75">
        <v>890</v>
      </c>
    </row>
    <row r="171" spans="1:16" x14ac:dyDescent="0.3">
      <c r="A171" s="76" t="s">
        <v>342</v>
      </c>
      <c r="B171" s="68"/>
      <c r="C171" s="68"/>
      <c r="D171" s="68"/>
      <c r="E171" s="69"/>
      <c r="F171" s="70"/>
      <c r="G171" s="71"/>
      <c r="H171" s="72"/>
      <c r="I171" s="73"/>
      <c r="J171" s="74"/>
      <c r="K171" s="74"/>
      <c r="L171" s="75"/>
      <c r="M171" s="75"/>
      <c r="N171" s="75"/>
      <c r="O171" s="75"/>
      <c r="P171" s="75">
        <v>920</v>
      </c>
    </row>
    <row r="172" spans="1:16" x14ac:dyDescent="0.3">
      <c r="A172" s="76" t="s">
        <v>342</v>
      </c>
      <c r="B172" s="68"/>
      <c r="C172" s="68"/>
      <c r="D172" s="68"/>
      <c r="E172" s="69"/>
      <c r="F172" s="70"/>
      <c r="G172" s="71"/>
      <c r="H172" s="72"/>
      <c r="I172" s="73"/>
      <c r="J172" s="74"/>
      <c r="K172" s="74"/>
      <c r="L172" s="75"/>
      <c r="M172" s="75"/>
      <c r="N172" s="75"/>
      <c r="O172" s="75"/>
      <c r="P172" s="75">
        <v>950</v>
      </c>
    </row>
    <row r="173" spans="1:16" x14ac:dyDescent="0.3">
      <c r="A173" s="76" t="s">
        <v>342</v>
      </c>
      <c r="B173" s="68"/>
      <c r="C173" s="68"/>
      <c r="D173" s="68"/>
      <c r="E173" s="69"/>
      <c r="F173" s="70"/>
      <c r="G173" s="71"/>
      <c r="H173" s="72"/>
      <c r="I173" s="73"/>
      <c r="J173" s="74"/>
      <c r="K173" s="74"/>
      <c r="L173" s="75"/>
      <c r="M173" s="75"/>
      <c r="N173" s="75"/>
      <c r="O173" s="75"/>
      <c r="P173" s="75">
        <v>980</v>
      </c>
    </row>
    <row r="174" spans="1:16" x14ac:dyDescent="0.3">
      <c r="A174" s="2" t="s">
        <v>147</v>
      </c>
      <c r="B174" s="1">
        <v>1600</v>
      </c>
      <c r="C174" s="3">
        <v>1600</v>
      </c>
      <c r="D174" s="3">
        <v>1850</v>
      </c>
      <c r="E174" s="4">
        <v>1850</v>
      </c>
      <c r="F174" s="1">
        <v>1850</v>
      </c>
      <c r="G174" s="40">
        <v>1850</v>
      </c>
      <c r="H174" s="18">
        <v>1165</v>
      </c>
      <c r="I174" s="20">
        <v>1165</v>
      </c>
      <c r="J174" s="18">
        <v>1165</v>
      </c>
      <c r="K174" s="18">
        <v>1165</v>
      </c>
      <c r="L174" s="58">
        <v>1165</v>
      </c>
      <c r="M174" s="58">
        <v>1165</v>
      </c>
      <c r="N174" s="58">
        <v>1165</v>
      </c>
      <c r="O174" s="65">
        <v>1165</v>
      </c>
      <c r="P174" s="65">
        <v>1165</v>
      </c>
    </row>
    <row r="175" spans="1:16" x14ac:dyDescent="0.3">
      <c r="A175" s="2" t="s">
        <v>148</v>
      </c>
      <c r="B175" s="1">
        <v>1475</v>
      </c>
      <c r="C175" s="3">
        <v>1475</v>
      </c>
      <c r="D175" s="3">
        <v>1475</v>
      </c>
      <c r="E175" s="4">
        <v>1475</v>
      </c>
      <c r="F175" s="1">
        <v>1475</v>
      </c>
      <c r="G175" s="40">
        <v>1475</v>
      </c>
      <c r="H175" s="18">
        <v>929</v>
      </c>
      <c r="I175" s="20">
        <v>929</v>
      </c>
      <c r="J175" s="18">
        <v>929</v>
      </c>
      <c r="K175" s="18">
        <v>929</v>
      </c>
      <c r="L175" s="58">
        <v>929</v>
      </c>
      <c r="M175" s="58">
        <v>929</v>
      </c>
      <c r="N175" s="58">
        <v>929</v>
      </c>
      <c r="O175" s="65">
        <v>929</v>
      </c>
      <c r="P175" s="65">
        <v>929</v>
      </c>
    </row>
    <row r="176" spans="1:16" x14ac:dyDescent="0.3">
      <c r="A176" s="2" t="s">
        <v>149</v>
      </c>
      <c r="B176" s="1">
        <v>950</v>
      </c>
      <c r="C176" s="3">
        <v>950</v>
      </c>
      <c r="D176" s="3">
        <v>950</v>
      </c>
      <c r="E176" s="4">
        <v>950</v>
      </c>
      <c r="F176" s="1">
        <v>950</v>
      </c>
      <c r="G176" s="40">
        <v>950</v>
      </c>
      <c r="H176" s="18">
        <v>598</v>
      </c>
      <c r="I176" s="20">
        <v>598</v>
      </c>
      <c r="J176" s="18">
        <v>598</v>
      </c>
      <c r="K176" s="18">
        <v>598</v>
      </c>
      <c r="L176" s="58">
        <v>598</v>
      </c>
      <c r="M176" s="58">
        <v>598</v>
      </c>
      <c r="N176" s="58">
        <v>598</v>
      </c>
      <c r="O176" s="65">
        <v>598</v>
      </c>
      <c r="P176" s="65">
        <v>598</v>
      </c>
    </row>
    <row r="177" spans="1:16" x14ac:dyDescent="0.3">
      <c r="A177" s="2" t="s">
        <v>150</v>
      </c>
      <c r="B177" s="1">
        <v>1600</v>
      </c>
      <c r="C177" s="3">
        <v>1600</v>
      </c>
      <c r="D177" s="3">
        <v>1600</v>
      </c>
      <c r="E177" s="4">
        <v>1600</v>
      </c>
      <c r="F177" s="1">
        <v>1600</v>
      </c>
      <c r="G177" s="40">
        <v>1600</v>
      </c>
      <c r="H177" s="18">
        <v>1008</v>
      </c>
      <c r="I177" s="20">
        <v>1008</v>
      </c>
      <c r="J177" s="18">
        <v>1008</v>
      </c>
      <c r="K177" s="18">
        <v>1008</v>
      </c>
      <c r="L177" s="58">
        <v>1008</v>
      </c>
      <c r="M177" s="58">
        <v>1008</v>
      </c>
      <c r="N177" s="58">
        <v>1008</v>
      </c>
      <c r="O177" s="65" t="s">
        <v>42</v>
      </c>
      <c r="P177" s="65"/>
    </row>
    <row r="178" spans="1:16" x14ac:dyDescent="0.3">
      <c r="A178" s="2" t="s">
        <v>151</v>
      </c>
      <c r="B178" s="1">
        <v>1750</v>
      </c>
      <c r="C178" s="3">
        <v>1750</v>
      </c>
      <c r="D178" s="3">
        <v>1750</v>
      </c>
      <c r="E178" s="4">
        <v>1750</v>
      </c>
      <c r="F178" s="1">
        <v>1750</v>
      </c>
      <c r="G178" s="40">
        <v>1750</v>
      </c>
      <c r="H178" s="18">
        <v>1102</v>
      </c>
      <c r="I178" s="20">
        <v>1102</v>
      </c>
      <c r="J178" s="18">
        <v>1102</v>
      </c>
      <c r="K178" s="18">
        <v>1102</v>
      </c>
      <c r="L178" s="58">
        <v>1102</v>
      </c>
      <c r="M178" s="58">
        <v>1102</v>
      </c>
      <c r="N178" s="58">
        <v>1102</v>
      </c>
      <c r="O178" s="65">
        <v>1102</v>
      </c>
      <c r="P178" s="65">
        <v>1102</v>
      </c>
    </row>
    <row r="179" spans="1:16" x14ac:dyDescent="0.3">
      <c r="A179" s="2" t="s">
        <v>152</v>
      </c>
      <c r="B179" s="1">
        <v>950</v>
      </c>
      <c r="C179" s="3">
        <v>950</v>
      </c>
      <c r="D179" s="3">
        <v>950</v>
      </c>
      <c r="E179" s="4">
        <v>950</v>
      </c>
      <c r="F179" s="1">
        <v>950</v>
      </c>
      <c r="G179" s="40">
        <v>950</v>
      </c>
      <c r="H179" s="18">
        <v>598</v>
      </c>
      <c r="I179" s="20">
        <v>598</v>
      </c>
      <c r="J179" s="18">
        <v>598</v>
      </c>
      <c r="K179" s="18">
        <v>598</v>
      </c>
      <c r="L179" s="58">
        <v>598</v>
      </c>
      <c r="M179" s="58">
        <v>598</v>
      </c>
      <c r="N179" s="58">
        <v>598</v>
      </c>
      <c r="O179" s="65">
        <v>598</v>
      </c>
      <c r="P179" s="65">
        <v>695</v>
      </c>
    </row>
    <row r="180" spans="1:16" x14ac:dyDescent="0.3">
      <c r="A180" s="2" t="s">
        <v>153</v>
      </c>
      <c r="B180" s="1">
        <v>1950</v>
      </c>
      <c r="C180" s="3">
        <v>1950</v>
      </c>
      <c r="D180" s="3">
        <v>1950</v>
      </c>
      <c r="E180" s="4">
        <v>1950</v>
      </c>
      <c r="F180" s="1">
        <v>1950</v>
      </c>
      <c r="G180" s="40">
        <v>1950</v>
      </c>
      <c r="H180" s="18">
        <v>1228</v>
      </c>
      <c r="I180" s="20">
        <v>1228</v>
      </c>
      <c r="J180" s="18">
        <v>1228</v>
      </c>
      <c r="K180" s="18">
        <v>1228</v>
      </c>
      <c r="L180" s="58">
        <v>1228</v>
      </c>
      <c r="M180" s="58">
        <v>1228</v>
      </c>
      <c r="N180" s="58">
        <v>1228</v>
      </c>
      <c r="O180" s="65" t="s">
        <v>42</v>
      </c>
      <c r="P180" s="65"/>
    </row>
    <row r="181" spans="1:16" x14ac:dyDescent="0.3">
      <c r="A181" s="48" t="s">
        <v>343</v>
      </c>
      <c r="B181" s="10" t="s">
        <v>154</v>
      </c>
      <c r="C181" s="10" t="s">
        <v>154</v>
      </c>
      <c r="D181" s="10" t="s">
        <v>154</v>
      </c>
      <c r="E181" s="11" t="s">
        <v>154</v>
      </c>
      <c r="F181" s="12" t="s">
        <v>154</v>
      </c>
      <c r="G181" s="42" t="s">
        <v>154</v>
      </c>
      <c r="H181" s="17" t="s">
        <v>154</v>
      </c>
      <c r="I181" s="17" t="s">
        <v>155</v>
      </c>
      <c r="J181" s="18" t="s">
        <v>155</v>
      </c>
      <c r="K181" s="18" t="s">
        <v>155</v>
      </c>
      <c r="L181" s="58">
        <v>693</v>
      </c>
      <c r="M181" s="58">
        <v>693</v>
      </c>
      <c r="N181" s="58">
        <v>693</v>
      </c>
      <c r="O181" s="65">
        <v>693</v>
      </c>
      <c r="P181" s="65">
        <v>693</v>
      </c>
    </row>
    <row r="182" spans="1:16" x14ac:dyDescent="0.3">
      <c r="A182" s="48" t="s">
        <v>343</v>
      </c>
      <c r="B182" s="50"/>
      <c r="C182" s="50"/>
      <c r="D182" s="50"/>
      <c r="E182" s="51"/>
      <c r="F182" s="52"/>
      <c r="G182" s="53"/>
      <c r="H182" s="54"/>
      <c r="I182" s="55"/>
      <c r="J182" s="21"/>
      <c r="K182" s="21"/>
      <c r="L182" s="58"/>
      <c r="M182" s="58">
        <v>826</v>
      </c>
      <c r="N182" s="58">
        <v>826</v>
      </c>
      <c r="O182" s="65">
        <v>826</v>
      </c>
      <c r="P182" s="65">
        <v>826</v>
      </c>
    </row>
    <row r="183" spans="1:16" x14ac:dyDescent="0.3">
      <c r="A183" s="2" t="s">
        <v>156</v>
      </c>
      <c r="B183" s="1">
        <v>1100</v>
      </c>
      <c r="C183" s="3">
        <v>1100</v>
      </c>
      <c r="D183" s="3">
        <v>1100</v>
      </c>
      <c r="E183" s="4">
        <v>1100</v>
      </c>
      <c r="F183" s="1">
        <v>1100</v>
      </c>
      <c r="G183" s="40">
        <v>1100</v>
      </c>
      <c r="H183" s="18">
        <v>693</v>
      </c>
      <c r="I183" s="17" t="s">
        <v>143</v>
      </c>
      <c r="J183" s="18" t="s">
        <v>143</v>
      </c>
      <c r="K183" s="18" t="s">
        <v>143</v>
      </c>
      <c r="L183" s="18" t="s">
        <v>143</v>
      </c>
      <c r="M183" s="18" t="s">
        <v>143</v>
      </c>
      <c r="N183" s="18" t="s">
        <v>143</v>
      </c>
      <c r="O183" s="65" t="s">
        <v>143</v>
      </c>
      <c r="P183" s="65"/>
    </row>
    <row r="184" spans="1:16" x14ac:dyDescent="0.3">
      <c r="A184" s="2" t="s">
        <v>157</v>
      </c>
      <c r="B184" s="1">
        <v>1750</v>
      </c>
      <c r="C184" s="3">
        <v>1750</v>
      </c>
      <c r="D184" s="3">
        <v>1800</v>
      </c>
      <c r="E184" s="4">
        <v>1800</v>
      </c>
      <c r="F184" s="1">
        <v>1800</v>
      </c>
      <c r="G184" s="40">
        <v>1800</v>
      </c>
      <c r="H184" s="18">
        <v>1134</v>
      </c>
      <c r="I184" s="20">
        <v>1134</v>
      </c>
      <c r="J184" s="18">
        <v>1209</v>
      </c>
      <c r="K184" s="18">
        <v>1209</v>
      </c>
      <c r="L184" s="58">
        <v>1209</v>
      </c>
      <c r="M184" s="58">
        <v>1209</v>
      </c>
      <c r="N184" s="58">
        <v>1209</v>
      </c>
      <c r="O184" s="65">
        <v>1209</v>
      </c>
      <c r="P184" s="65">
        <v>1209</v>
      </c>
    </row>
    <row r="185" spans="1:16" x14ac:dyDescent="0.3">
      <c r="A185" s="2" t="s">
        <v>158</v>
      </c>
      <c r="B185" s="1">
        <v>1100</v>
      </c>
      <c r="C185" s="3">
        <v>1100</v>
      </c>
      <c r="D185" s="3">
        <v>1100</v>
      </c>
      <c r="E185" s="4">
        <v>1100</v>
      </c>
      <c r="F185" s="1">
        <v>1100</v>
      </c>
      <c r="G185" s="40">
        <v>1100</v>
      </c>
      <c r="H185" s="18">
        <v>693</v>
      </c>
      <c r="I185" s="20">
        <v>877</v>
      </c>
      <c r="J185" s="18">
        <v>877</v>
      </c>
      <c r="K185" s="18">
        <v>877</v>
      </c>
      <c r="L185" s="58">
        <v>877</v>
      </c>
      <c r="M185" s="58">
        <v>877</v>
      </c>
      <c r="N185" s="58">
        <v>877</v>
      </c>
      <c r="O185" s="65">
        <v>877</v>
      </c>
      <c r="P185" s="65">
        <v>877</v>
      </c>
    </row>
    <row r="186" spans="1:16" x14ac:dyDescent="0.3">
      <c r="A186" s="2" t="s">
        <v>159</v>
      </c>
      <c r="B186" s="1">
        <v>1250</v>
      </c>
      <c r="C186" s="3">
        <v>1250</v>
      </c>
      <c r="D186" s="3">
        <v>1250</v>
      </c>
      <c r="E186" s="4">
        <v>1250</v>
      </c>
      <c r="F186" s="1">
        <v>1250</v>
      </c>
      <c r="G186" s="40">
        <v>1250</v>
      </c>
      <c r="H186" s="18">
        <v>787</v>
      </c>
      <c r="I186" s="20">
        <v>787</v>
      </c>
      <c r="J186" s="18">
        <v>787</v>
      </c>
      <c r="K186" s="18">
        <v>787</v>
      </c>
      <c r="L186" s="58">
        <v>787</v>
      </c>
      <c r="M186" s="58">
        <v>787</v>
      </c>
      <c r="N186" s="58">
        <v>787</v>
      </c>
      <c r="O186" s="65">
        <v>787</v>
      </c>
      <c r="P186" s="65">
        <v>787</v>
      </c>
    </row>
    <row r="187" spans="1:16" x14ac:dyDescent="0.3">
      <c r="A187" s="2" t="s">
        <v>160</v>
      </c>
      <c r="B187" s="1">
        <v>1200</v>
      </c>
      <c r="C187" s="3">
        <v>1200</v>
      </c>
      <c r="D187" s="3">
        <v>1200</v>
      </c>
      <c r="E187" s="4">
        <v>1200</v>
      </c>
      <c r="F187" s="1">
        <v>1200</v>
      </c>
      <c r="G187" s="40">
        <v>1200</v>
      </c>
      <c r="H187" s="18">
        <v>756</v>
      </c>
      <c r="I187" s="20">
        <v>756</v>
      </c>
      <c r="J187" s="18">
        <v>756</v>
      </c>
      <c r="K187" s="18">
        <v>756</v>
      </c>
      <c r="L187" s="58">
        <v>756</v>
      </c>
      <c r="M187" s="58">
        <v>756</v>
      </c>
      <c r="N187" s="58">
        <v>756</v>
      </c>
      <c r="O187" s="65">
        <v>756</v>
      </c>
      <c r="P187" s="65">
        <v>756</v>
      </c>
    </row>
    <row r="188" spans="1:16" x14ac:dyDescent="0.3">
      <c r="A188" s="2" t="s">
        <v>161</v>
      </c>
      <c r="B188" s="1">
        <v>1250</v>
      </c>
      <c r="C188" s="3">
        <v>1250</v>
      </c>
      <c r="D188" s="3">
        <v>1500</v>
      </c>
      <c r="E188" s="4">
        <v>1500</v>
      </c>
      <c r="F188" s="1">
        <v>1500</v>
      </c>
      <c r="G188" s="40">
        <v>1500</v>
      </c>
      <c r="H188" s="18">
        <v>945</v>
      </c>
      <c r="I188" s="20">
        <v>945</v>
      </c>
      <c r="J188" s="18">
        <v>945</v>
      </c>
      <c r="K188" s="18">
        <v>945</v>
      </c>
      <c r="L188" s="58">
        <v>945</v>
      </c>
      <c r="M188" s="58">
        <v>945</v>
      </c>
      <c r="N188" s="58">
        <v>945</v>
      </c>
      <c r="O188" s="65">
        <v>945</v>
      </c>
      <c r="P188" s="65">
        <v>945</v>
      </c>
    </row>
    <row r="189" spans="1:16" x14ac:dyDescent="0.3">
      <c r="A189" s="2" t="s">
        <v>162</v>
      </c>
      <c r="B189" s="1">
        <v>1900</v>
      </c>
      <c r="C189" s="3">
        <v>1900</v>
      </c>
      <c r="D189" s="3">
        <v>1900</v>
      </c>
      <c r="E189" s="4">
        <v>1900</v>
      </c>
      <c r="F189" s="1">
        <v>1900</v>
      </c>
      <c r="G189" s="40">
        <v>1900</v>
      </c>
      <c r="H189" s="18">
        <v>1196</v>
      </c>
      <c r="I189" s="20">
        <v>1196</v>
      </c>
      <c r="J189" s="18">
        <v>1196</v>
      </c>
      <c r="K189" s="18">
        <v>1196</v>
      </c>
      <c r="L189" s="58">
        <v>1196</v>
      </c>
      <c r="M189" s="58">
        <v>1196</v>
      </c>
      <c r="N189" s="58">
        <v>1196</v>
      </c>
      <c r="O189" s="65">
        <v>1196</v>
      </c>
      <c r="P189" s="65">
        <v>1196</v>
      </c>
    </row>
    <row r="190" spans="1:16" x14ac:dyDescent="0.3">
      <c r="A190" s="2" t="s">
        <v>163</v>
      </c>
      <c r="B190" s="1">
        <v>1450</v>
      </c>
      <c r="C190" s="3">
        <v>1450</v>
      </c>
      <c r="D190" s="3">
        <v>1450</v>
      </c>
      <c r="E190" s="4">
        <v>1450</v>
      </c>
      <c r="F190" s="1">
        <v>1450</v>
      </c>
      <c r="G190" s="40">
        <v>1450</v>
      </c>
      <c r="H190" s="18">
        <v>900</v>
      </c>
      <c r="I190" s="20">
        <v>900</v>
      </c>
      <c r="J190" s="18">
        <v>1040</v>
      </c>
      <c r="K190" s="18">
        <v>1040</v>
      </c>
      <c r="L190" s="58">
        <v>1040</v>
      </c>
      <c r="M190" s="58">
        <v>1040</v>
      </c>
      <c r="N190" s="58">
        <v>1040</v>
      </c>
      <c r="O190" s="65">
        <v>1040</v>
      </c>
      <c r="P190" s="65">
        <v>1040</v>
      </c>
    </row>
    <row r="191" spans="1:16" x14ac:dyDescent="0.3">
      <c r="A191" s="2" t="s">
        <v>164</v>
      </c>
      <c r="B191" s="1">
        <v>1300</v>
      </c>
      <c r="C191" s="3">
        <v>1300</v>
      </c>
      <c r="D191" s="3">
        <v>1500</v>
      </c>
      <c r="E191" s="4">
        <v>1500</v>
      </c>
      <c r="F191" s="1">
        <v>1500</v>
      </c>
      <c r="G191" s="40">
        <v>1500</v>
      </c>
      <c r="H191" s="18">
        <v>945</v>
      </c>
      <c r="I191" s="20">
        <v>945</v>
      </c>
      <c r="J191" s="18">
        <v>945</v>
      </c>
      <c r="K191" s="18">
        <v>945</v>
      </c>
      <c r="L191" s="58">
        <v>945</v>
      </c>
      <c r="M191" s="58">
        <v>945</v>
      </c>
      <c r="N191" s="58">
        <v>945</v>
      </c>
      <c r="O191" s="65">
        <v>945</v>
      </c>
      <c r="P191" s="65">
        <v>945</v>
      </c>
    </row>
    <row r="192" spans="1:16" x14ac:dyDescent="0.3">
      <c r="A192" s="2" t="s">
        <v>165</v>
      </c>
      <c r="B192" s="1">
        <v>1600</v>
      </c>
      <c r="C192" s="3">
        <v>1600</v>
      </c>
      <c r="D192" s="3">
        <v>1600</v>
      </c>
      <c r="E192" s="4">
        <v>1600</v>
      </c>
      <c r="F192" s="1">
        <v>1600</v>
      </c>
      <c r="G192" s="40">
        <v>1600</v>
      </c>
      <c r="H192" s="18">
        <v>1007.56</v>
      </c>
      <c r="I192" s="20">
        <v>1000</v>
      </c>
      <c r="J192" s="18">
        <v>1000</v>
      </c>
      <c r="K192" s="18">
        <v>1000</v>
      </c>
      <c r="L192" s="58">
        <v>1000</v>
      </c>
      <c r="M192" s="58">
        <v>1000</v>
      </c>
      <c r="N192" s="58">
        <v>1000</v>
      </c>
      <c r="O192" s="65">
        <v>1000</v>
      </c>
      <c r="P192" s="65">
        <v>1000</v>
      </c>
    </row>
    <row r="193" spans="1:16" x14ac:dyDescent="0.3">
      <c r="A193" s="2" t="s">
        <v>166</v>
      </c>
      <c r="B193" s="1">
        <v>1750</v>
      </c>
      <c r="C193" s="3">
        <v>1900</v>
      </c>
      <c r="D193" s="3">
        <v>1900</v>
      </c>
      <c r="E193" s="4">
        <v>1900</v>
      </c>
      <c r="F193" s="1">
        <v>1900</v>
      </c>
      <c r="G193" s="40">
        <v>1875</v>
      </c>
      <c r="H193" s="18">
        <v>1180</v>
      </c>
      <c r="I193" s="20">
        <v>1180</v>
      </c>
      <c r="J193" s="18">
        <v>1180</v>
      </c>
      <c r="K193" s="18">
        <v>1180</v>
      </c>
      <c r="L193" s="58">
        <v>1180</v>
      </c>
      <c r="M193" s="58">
        <v>1180</v>
      </c>
      <c r="N193" s="58">
        <v>1180</v>
      </c>
      <c r="O193" s="65">
        <v>1180</v>
      </c>
      <c r="P193" s="65">
        <v>1250</v>
      </c>
    </row>
    <row r="194" spans="1:16" x14ac:dyDescent="0.3">
      <c r="A194" s="2" t="s">
        <v>167</v>
      </c>
      <c r="B194" s="1">
        <v>1125</v>
      </c>
      <c r="C194" s="3">
        <v>1125</v>
      </c>
      <c r="D194" s="3">
        <v>1125</v>
      </c>
      <c r="E194" s="4">
        <v>1125</v>
      </c>
      <c r="F194" s="1">
        <v>1125</v>
      </c>
      <c r="G194" s="40">
        <v>1125</v>
      </c>
      <c r="H194" s="18">
        <v>708</v>
      </c>
      <c r="I194" s="20">
        <v>708</v>
      </c>
      <c r="J194" s="18">
        <v>708</v>
      </c>
      <c r="K194" s="18">
        <v>708</v>
      </c>
      <c r="L194" s="58">
        <v>708</v>
      </c>
      <c r="M194" s="58">
        <v>708</v>
      </c>
      <c r="N194" s="58">
        <v>708</v>
      </c>
      <c r="O194" s="65">
        <v>708</v>
      </c>
      <c r="P194" s="65">
        <v>878.69</v>
      </c>
    </row>
    <row r="195" spans="1:16" x14ac:dyDescent="0.3">
      <c r="A195" s="2" t="s">
        <v>168</v>
      </c>
      <c r="B195" s="1">
        <v>1350</v>
      </c>
      <c r="C195" s="3">
        <v>1350</v>
      </c>
      <c r="D195" s="3">
        <v>1350</v>
      </c>
      <c r="E195" s="4">
        <v>1350</v>
      </c>
      <c r="F195" s="1">
        <v>1350</v>
      </c>
      <c r="G195" s="40">
        <v>1350</v>
      </c>
      <c r="H195" s="18">
        <v>850</v>
      </c>
      <c r="I195" s="20">
        <v>850</v>
      </c>
      <c r="J195" s="18">
        <v>850</v>
      </c>
      <c r="K195" s="18">
        <v>850</v>
      </c>
      <c r="L195" s="58">
        <v>850</v>
      </c>
      <c r="M195" s="58">
        <v>850</v>
      </c>
      <c r="N195" s="58">
        <v>850</v>
      </c>
      <c r="O195" s="65">
        <v>850</v>
      </c>
      <c r="P195" s="65">
        <v>850</v>
      </c>
    </row>
    <row r="196" spans="1:16" x14ac:dyDescent="0.3">
      <c r="A196" s="76" t="s">
        <v>344</v>
      </c>
      <c r="B196" s="1">
        <v>1400</v>
      </c>
      <c r="C196" s="3">
        <v>1400</v>
      </c>
      <c r="D196" s="3">
        <v>1400</v>
      </c>
      <c r="E196" s="4">
        <v>1400</v>
      </c>
      <c r="F196" s="1">
        <v>1400</v>
      </c>
      <c r="G196" s="40">
        <v>1400</v>
      </c>
      <c r="H196" s="18">
        <v>880</v>
      </c>
      <c r="I196" s="20">
        <v>880</v>
      </c>
      <c r="J196" s="18">
        <v>975</v>
      </c>
      <c r="K196" s="18">
        <v>975</v>
      </c>
      <c r="L196" s="58">
        <v>975</v>
      </c>
      <c r="M196" s="58">
        <v>975</v>
      </c>
      <c r="N196" s="58">
        <v>975</v>
      </c>
      <c r="O196" s="65">
        <v>975</v>
      </c>
      <c r="P196" s="65">
        <v>975</v>
      </c>
    </row>
    <row r="197" spans="1:16" x14ac:dyDescent="0.3">
      <c r="A197" s="76" t="s">
        <v>344</v>
      </c>
      <c r="B197" s="68"/>
      <c r="C197" s="68"/>
      <c r="D197" s="68"/>
      <c r="E197" s="69"/>
      <c r="F197" s="70"/>
      <c r="G197" s="71"/>
      <c r="H197" s="72"/>
      <c r="I197" s="73"/>
      <c r="J197" s="74"/>
      <c r="K197" s="74"/>
      <c r="L197" s="75"/>
      <c r="M197" s="75"/>
      <c r="N197" s="75"/>
      <c r="O197" s="75"/>
      <c r="P197" s="75">
        <v>1170</v>
      </c>
    </row>
    <row r="198" spans="1:16" x14ac:dyDescent="0.3">
      <c r="A198" s="2" t="s">
        <v>169</v>
      </c>
      <c r="B198" s="1">
        <v>1350</v>
      </c>
      <c r="C198" s="3">
        <v>1600</v>
      </c>
      <c r="D198" s="3">
        <v>1600</v>
      </c>
      <c r="E198" s="4">
        <v>1600</v>
      </c>
      <c r="F198" s="1">
        <v>1600</v>
      </c>
      <c r="G198" s="40">
        <v>1600</v>
      </c>
      <c r="H198" s="18">
        <v>1008</v>
      </c>
      <c r="I198" s="20">
        <v>1008</v>
      </c>
      <c r="J198" s="18">
        <v>1008</v>
      </c>
      <c r="K198" s="18">
        <v>1008</v>
      </c>
      <c r="L198" s="58">
        <v>1008</v>
      </c>
      <c r="M198" s="58">
        <v>1008</v>
      </c>
      <c r="N198" s="58">
        <v>1008</v>
      </c>
      <c r="O198" s="65">
        <v>1008</v>
      </c>
      <c r="P198" s="65">
        <v>1208</v>
      </c>
    </row>
    <row r="199" spans="1:16" x14ac:dyDescent="0.3">
      <c r="A199" s="2" t="s">
        <v>170</v>
      </c>
      <c r="B199" s="1">
        <v>1450</v>
      </c>
      <c r="C199" s="3">
        <v>1650</v>
      </c>
      <c r="D199" s="3">
        <v>1650</v>
      </c>
      <c r="E199" s="4">
        <v>1650</v>
      </c>
      <c r="F199" s="1">
        <v>1650</v>
      </c>
      <c r="G199" s="40">
        <v>1650</v>
      </c>
      <c r="H199" s="18">
        <v>1038</v>
      </c>
      <c r="I199" s="20">
        <v>1038</v>
      </c>
      <c r="J199" s="18">
        <v>1038</v>
      </c>
      <c r="K199" s="18">
        <v>1038</v>
      </c>
      <c r="L199" s="58">
        <v>1038</v>
      </c>
      <c r="M199" s="58">
        <v>1038</v>
      </c>
      <c r="N199" s="58">
        <v>1038</v>
      </c>
      <c r="O199" s="65">
        <v>1038</v>
      </c>
      <c r="P199" s="65">
        <v>1038</v>
      </c>
    </row>
    <row r="200" spans="1:16" x14ac:dyDescent="0.3">
      <c r="A200" s="76" t="s">
        <v>345</v>
      </c>
      <c r="B200" s="1">
        <v>1250</v>
      </c>
      <c r="C200" s="3">
        <v>1250</v>
      </c>
      <c r="D200" s="3">
        <v>1250</v>
      </c>
      <c r="E200" s="4">
        <v>1250</v>
      </c>
      <c r="F200" s="1">
        <v>1250</v>
      </c>
      <c r="G200" s="40">
        <v>1250</v>
      </c>
      <c r="H200" s="18">
        <v>787</v>
      </c>
      <c r="I200" s="20">
        <v>787</v>
      </c>
      <c r="J200" s="18">
        <v>787</v>
      </c>
      <c r="K200" s="18">
        <v>787</v>
      </c>
      <c r="L200" s="58">
        <v>787</v>
      </c>
      <c r="M200" s="58">
        <v>787</v>
      </c>
      <c r="N200" s="58">
        <v>787</v>
      </c>
      <c r="O200" s="65">
        <v>787</v>
      </c>
      <c r="P200" s="65">
        <v>995</v>
      </c>
    </row>
    <row r="201" spans="1:16" x14ac:dyDescent="0.3">
      <c r="A201" s="76" t="s">
        <v>345</v>
      </c>
      <c r="B201" s="68"/>
      <c r="C201" s="68"/>
      <c r="D201" s="68"/>
      <c r="E201" s="69"/>
      <c r="F201" s="70"/>
      <c r="G201" s="71"/>
      <c r="H201" s="72"/>
      <c r="I201" s="73"/>
      <c r="J201" s="74"/>
      <c r="K201" s="74"/>
      <c r="L201" s="75"/>
      <c r="M201" s="75"/>
      <c r="N201" s="75"/>
      <c r="O201" s="75"/>
      <c r="P201" s="75">
        <v>1054.7</v>
      </c>
    </row>
    <row r="202" spans="1:16" x14ac:dyDescent="0.3">
      <c r="A202" s="76" t="s">
        <v>345</v>
      </c>
      <c r="B202" s="68"/>
      <c r="C202" s="68"/>
      <c r="D202" s="68"/>
      <c r="E202" s="69"/>
      <c r="F202" s="70"/>
      <c r="G202" s="71"/>
      <c r="H202" s="72"/>
      <c r="I202" s="73"/>
      <c r="J202" s="74"/>
      <c r="K202" s="74"/>
      <c r="L202" s="75"/>
      <c r="M202" s="75"/>
      <c r="N202" s="75"/>
      <c r="O202" s="75"/>
      <c r="P202" s="75">
        <v>1084.55</v>
      </c>
    </row>
    <row r="203" spans="1:16" x14ac:dyDescent="0.3">
      <c r="A203" s="76" t="s">
        <v>345</v>
      </c>
      <c r="B203" s="68"/>
      <c r="C203" s="68"/>
      <c r="D203" s="68"/>
      <c r="E203" s="69"/>
      <c r="F203" s="70"/>
      <c r="G203" s="71"/>
      <c r="H203" s="72"/>
      <c r="I203" s="73"/>
      <c r="J203" s="74"/>
      <c r="K203" s="74"/>
      <c r="L203" s="75"/>
      <c r="M203" s="75"/>
      <c r="N203" s="75"/>
      <c r="O203" s="75"/>
      <c r="P203" s="75">
        <v>1104.45</v>
      </c>
    </row>
    <row r="204" spans="1:16" x14ac:dyDescent="0.3">
      <c r="A204" s="76" t="s">
        <v>345</v>
      </c>
      <c r="B204" s="68"/>
      <c r="C204" s="68"/>
      <c r="D204" s="68"/>
      <c r="E204" s="69"/>
      <c r="F204" s="70"/>
      <c r="G204" s="71"/>
      <c r="H204" s="72"/>
      <c r="I204" s="73"/>
      <c r="J204" s="74"/>
      <c r="K204" s="74"/>
      <c r="L204" s="75"/>
      <c r="M204" s="75"/>
      <c r="N204" s="75"/>
      <c r="O204" s="75"/>
      <c r="P204" s="75">
        <v>1121.6099999999999</v>
      </c>
    </row>
    <row r="205" spans="1:16" x14ac:dyDescent="0.3">
      <c r="A205" s="2" t="s">
        <v>171</v>
      </c>
      <c r="B205" s="1">
        <v>1200</v>
      </c>
      <c r="C205" s="3">
        <v>1200</v>
      </c>
      <c r="D205" s="3">
        <v>1350</v>
      </c>
      <c r="E205" s="4">
        <v>1350</v>
      </c>
      <c r="F205" s="1">
        <v>1350</v>
      </c>
      <c r="G205" s="40">
        <v>1350</v>
      </c>
      <c r="H205" s="18">
        <v>850</v>
      </c>
      <c r="I205" s="20">
        <v>850</v>
      </c>
      <c r="J205" s="18">
        <v>850</v>
      </c>
      <c r="K205" s="18">
        <v>850</v>
      </c>
      <c r="L205" s="58">
        <v>850</v>
      </c>
      <c r="M205" s="58">
        <v>850</v>
      </c>
      <c r="N205" s="58">
        <v>850</v>
      </c>
      <c r="O205" s="65">
        <v>850</v>
      </c>
      <c r="P205" s="65">
        <v>850</v>
      </c>
    </row>
    <row r="206" spans="1:16" x14ac:dyDescent="0.3">
      <c r="A206" s="2" t="s">
        <v>172</v>
      </c>
      <c r="B206" s="10" t="s">
        <v>154</v>
      </c>
      <c r="C206" s="10" t="s">
        <v>154</v>
      </c>
      <c r="D206" s="10" t="s">
        <v>154</v>
      </c>
      <c r="E206" s="10" t="s">
        <v>154</v>
      </c>
      <c r="F206" s="10" t="s">
        <v>154</v>
      </c>
      <c r="G206" s="43" t="s">
        <v>154</v>
      </c>
      <c r="H206" s="19" t="s">
        <v>154</v>
      </c>
      <c r="I206" s="17" t="s">
        <v>173</v>
      </c>
      <c r="J206" s="18" t="s">
        <v>173</v>
      </c>
      <c r="K206" s="18" t="s">
        <v>173</v>
      </c>
      <c r="L206" s="58">
        <v>834</v>
      </c>
      <c r="M206" s="58">
        <v>834</v>
      </c>
      <c r="N206" s="58">
        <v>834</v>
      </c>
      <c r="O206" s="65">
        <v>834</v>
      </c>
      <c r="P206" s="65">
        <v>834</v>
      </c>
    </row>
    <row r="207" spans="1:16" x14ac:dyDescent="0.3">
      <c r="A207" s="2" t="s">
        <v>174</v>
      </c>
      <c r="B207" s="1">
        <v>1200</v>
      </c>
      <c r="C207" s="3">
        <v>1200</v>
      </c>
      <c r="D207" s="3">
        <v>1200</v>
      </c>
      <c r="E207" s="4">
        <v>1200</v>
      </c>
      <c r="F207" s="1">
        <v>1200</v>
      </c>
      <c r="G207" s="40">
        <v>1200</v>
      </c>
      <c r="H207" s="18">
        <v>756</v>
      </c>
      <c r="I207" s="20">
        <v>756</v>
      </c>
      <c r="J207" s="18">
        <v>756</v>
      </c>
      <c r="K207" s="18">
        <v>756</v>
      </c>
      <c r="L207" s="58">
        <v>756</v>
      </c>
      <c r="M207" s="58">
        <v>756</v>
      </c>
      <c r="N207" s="58">
        <v>756</v>
      </c>
      <c r="O207" s="65">
        <v>756</v>
      </c>
      <c r="P207" s="65">
        <v>756</v>
      </c>
    </row>
    <row r="208" spans="1:16" x14ac:dyDescent="0.3">
      <c r="A208" s="2" t="s">
        <v>175</v>
      </c>
      <c r="B208" s="1">
        <v>1200</v>
      </c>
      <c r="C208" s="3">
        <v>1200</v>
      </c>
      <c r="D208" s="3">
        <v>1400</v>
      </c>
      <c r="E208" s="4">
        <v>1400</v>
      </c>
      <c r="F208" s="1">
        <v>1400</v>
      </c>
      <c r="G208" s="40">
        <v>1400</v>
      </c>
      <c r="H208" s="18">
        <v>882</v>
      </c>
      <c r="I208" s="20">
        <v>882</v>
      </c>
      <c r="J208" s="18">
        <v>882</v>
      </c>
      <c r="K208" s="18">
        <v>882</v>
      </c>
      <c r="L208" s="58">
        <v>882</v>
      </c>
      <c r="M208" s="58">
        <v>882</v>
      </c>
      <c r="N208" s="58">
        <v>882</v>
      </c>
      <c r="O208" s="65">
        <v>882</v>
      </c>
      <c r="P208" s="65">
        <v>882</v>
      </c>
    </row>
    <row r="209" spans="1:16" x14ac:dyDescent="0.3">
      <c r="A209" s="76" t="s">
        <v>346</v>
      </c>
      <c r="B209" s="1">
        <v>1400</v>
      </c>
      <c r="C209" s="3">
        <v>1400</v>
      </c>
      <c r="D209" s="3">
        <v>1400</v>
      </c>
      <c r="E209" s="4">
        <v>1400</v>
      </c>
      <c r="F209" s="1">
        <v>1400</v>
      </c>
      <c r="G209" s="40">
        <v>1400</v>
      </c>
      <c r="H209" s="18">
        <v>882</v>
      </c>
      <c r="I209" s="20">
        <v>882</v>
      </c>
      <c r="J209" s="18">
        <v>882</v>
      </c>
      <c r="K209" s="18">
        <v>882</v>
      </c>
      <c r="L209" s="58">
        <v>882</v>
      </c>
      <c r="M209" s="58">
        <v>882</v>
      </c>
      <c r="N209" s="58">
        <v>882</v>
      </c>
      <c r="O209" s="65">
        <v>882</v>
      </c>
      <c r="P209" s="79">
        <v>873.18</v>
      </c>
    </row>
    <row r="210" spans="1:16" x14ac:dyDescent="0.3">
      <c r="A210" s="76" t="s">
        <v>346</v>
      </c>
      <c r="B210" s="68"/>
      <c r="C210" s="68"/>
      <c r="D210" s="68"/>
      <c r="E210" s="69"/>
      <c r="F210" s="70"/>
      <c r="G210" s="71"/>
      <c r="H210" s="72"/>
      <c r="I210" s="73"/>
      <c r="J210" s="74"/>
      <c r="K210" s="74"/>
      <c r="L210" s="75"/>
      <c r="M210" s="75"/>
      <c r="N210" s="75"/>
      <c r="O210" s="75"/>
      <c r="P210" s="75">
        <v>970.2</v>
      </c>
    </row>
    <row r="211" spans="1:16" x14ac:dyDescent="0.3">
      <c r="A211" s="76" t="s">
        <v>346</v>
      </c>
      <c r="B211" s="68"/>
      <c r="C211" s="68"/>
      <c r="D211" s="68"/>
      <c r="E211" s="69"/>
      <c r="F211" s="70"/>
      <c r="G211" s="71"/>
      <c r="H211" s="72"/>
      <c r="I211" s="73"/>
      <c r="J211" s="74"/>
      <c r="K211" s="74"/>
      <c r="L211" s="75"/>
      <c r="M211" s="75"/>
      <c r="N211" s="75"/>
      <c r="O211" s="75"/>
      <c r="P211" s="75">
        <v>1049.58</v>
      </c>
    </row>
    <row r="212" spans="1:16" x14ac:dyDescent="0.3">
      <c r="A212" s="76" t="s">
        <v>346</v>
      </c>
      <c r="B212" s="68"/>
      <c r="C212" s="68"/>
      <c r="D212" s="68"/>
      <c r="E212" s="69"/>
      <c r="F212" s="70"/>
      <c r="G212" s="71"/>
      <c r="H212" s="72"/>
      <c r="I212" s="73"/>
      <c r="J212" s="74"/>
      <c r="K212" s="74"/>
      <c r="L212" s="75"/>
      <c r="M212" s="75"/>
      <c r="N212" s="75"/>
      <c r="O212" s="75"/>
      <c r="P212" s="75">
        <v>1266.03</v>
      </c>
    </row>
    <row r="213" spans="1:16" x14ac:dyDescent="0.3">
      <c r="A213" s="2" t="s">
        <v>176</v>
      </c>
      <c r="B213" s="1">
        <v>1200</v>
      </c>
      <c r="C213" s="3">
        <v>1200</v>
      </c>
      <c r="D213" s="3">
        <v>1200</v>
      </c>
      <c r="E213" s="4">
        <v>1200</v>
      </c>
      <c r="F213" s="1">
        <v>1200</v>
      </c>
      <c r="G213" s="40">
        <v>1200</v>
      </c>
      <c r="H213" s="18">
        <v>756</v>
      </c>
      <c r="I213" s="20">
        <v>920</v>
      </c>
      <c r="J213" s="18">
        <v>920</v>
      </c>
      <c r="K213" s="18">
        <v>920</v>
      </c>
      <c r="L213" s="58">
        <v>920</v>
      </c>
      <c r="M213" s="58">
        <v>920</v>
      </c>
      <c r="N213" s="58">
        <v>920</v>
      </c>
      <c r="O213" s="65">
        <v>920</v>
      </c>
      <c r="P213" s="65">
        <v>920</v>
      </c>
    </row>
    <row r="214" spans="1:16" x14ac:dyDescent="0.3">
      <c r="A214" s="2" t="s">
        <v>177</v>
      </c>
      <c r="B214" s="1">
        <v>1000</v>
      </c>
      <c r="C214" s="3">
        <v>1000</v>
      </c>
      <c r="D214" s="3">
        <v>1000</v>
      </c>
      <c r="E214" s="4">
        <v>1700</v>
      </c>
      <c r="F214" s="1">
        <v>1000</v>
      </c>
      <c r="G214" s="40">
        <v>1000</v>
      </c>
      <c r="H214" s="18">
        <v>630</v>
      </c>
      <c r="I214" s="20">
        <v>630</v>
      </c>
      <c r="J214" s="18">
        <v>850</v>
      </c>
      <c r="K214" s="18">
        <v>850</v>
      </c>
      <c r="L214" s="58">
        <v>850</v>
      </c>
      <c r="M214" s="58">
        <v>850</v>
      </c>
      <c r="N214" s="58">
        <v>850</v>
      </c>
      <c r="O214" s="65">
        <v>850</v>
      </c>
      <c r="P214" s="65">
        <v>850</v>
      </c>
    </row>
    <row r="215" spans="1:16" x14ac:dyDescent="0.3">
      <c r="A215" s="2" t="s">
        <v>178</v>
      </c>
      <c r="B215" s="1">
        <v>1250</v>
      </c>
      <c r="C215" s="3">
        <v>1250</v>
      </c>
      <c r="D215" s="3">
        <v>1250</v>
      </c>
      <c r="E215" s="4">
        <v>1000</v>
      </c>
      <c r="F215" s="1">
        <v>1250</v>
      </c>
      <c r="G215" s="40">
        <v>1250</v>
      </c>
      <c r="H215" s="18">
        <v>787</v>
      </c>
      <c r="I215" s="20">
        <v>787</v>
      </c>
      <c r="J215" s="18">
        <v>787</v>
      </c>
      <c r="K215" s="18">
        <v>787</v>
      </c>
      <c r="L215" s="58">
        <v>787</v>
      </c>
      <c r="M215" s="58">
        <v>787</v>
      </c>
      <c r="N215" s="58">
        <v>787</v>
      </c>
      <c r="O215" s="65">
        <v>787</v>
      </c>
      <c r="P215" s="65">
        <v>787</v>
      </c>
    </row>
    <row r="216" spans="1:16" x14ac:dyDescent="0.3">
      <c r="A216" s="2" t="s">
        <v>179</v>
      </c>
      <c r="B216" s="1">
        <v>1150</v>
      </c>
      <c r="C216" s="3">
        <v>1150</v>
      </c>
      <c r="D216" s="3">
        <v>1300</v>
      </c>
      <c r="E216" s="4">
        <v>1250</v>
      </c>
      <c r="F216" s="1">
        <v>1300</v>
      </c>
      <c r="G216" s="40">
        <v>1300</v>
      </c>
      <c r="H216" s="18">
        <v>819</v>
      </c>
      <c r="I216" s="20">
        <v>819</v>
      </c>
      <c r="J216" s="18">
        <v>819</v>
      </c>
      <c r="K216" s="18">
        <v>819</v>
      </c>
      <c r="L216" s="58">
        <v>819</v>
      </c>
      <c r="M216" s="58">
        <v>819</v>
      </c>
      <c r="N216" s="58">
        <v>819</v>
      </c>
      <c r="O216" s="65">
        <v>819</v>
      </c>
      <c r="P216" s="65">
        <v>819</v>
      </c>
    </row>
    <row r="217" spans="1:16" x14ac:dyDescent="0.3">
      <c r="A217" s="48" t="s">
        <v>180</v>
      </c>
      <c r="B217" s="50"/>
      <c r="C217" s="50"/>
      <c r="D217" s="50"/>
      <c r="E217" s="51"/>
      <c r="F217" s="52"/>
      <c r="G217" s="53"/>
      <c r="H217" s="54"/>
      <c r="I217" s="55"/>
      <c r="J217" s="21"/>
      <c r="K217" s="21"/>
      <c r="L217" s="58">
        <v>1250</v>
      </c>
      <c r="M217" s="58">
        <v>1250</v>
      </c>
      <c r="N217" s="58">
        <v>1250</v>
      </c>
      <c r="O217" s="65">
        <v>1250</v>
      </c>
      <c r="P217" s="65">
        <v>1250</v>
      </c>
    </row>
    <row r="218" spans="1:16" x14ac:dyDescent="0.3">
      <c r="A218" s="48" t="s">
        <v>180</v>
      </c>
      <c r="B218" s="1">
        <v>1300</v>
      </c>
      <c r="C218" s="3">
        <v>1300</v>
      </c>
      <c r="D218" s="3">
        <v>1550</v>
      </c>
      <c r="E218" s="4">
        <v>1300</v>
      </c>
      <c r="F218" s="1">
        <v>1550</v>
      </c>
      <c r="G218" s="40">
        <v>1550</v>
      </c>
      <c r="H218" s="18">
        <v>976.07</v>
      </c>
      <c r="I218" s="20">
        <v>976.07</v>
      </c>
      <c r="J218" s="18">
        <v>976.07</v>
      </c>
      <c r="K218" s="18">
        <v>976.07</v>
      </c>
      <c r="L218" s="58">
        <v>976.07</v>
      </c>
      <c r="M218" s="58">
        <v>976.07</v>
      </c>
      <c r="N218" s="58">
        <v>976.07</v>
      </c>
      <c r="O218" s="65">
        <v>976.07</v>
      </c>
      <c r="P218" s="65">
        <v>976.07</v>
      </c>
    </row>
    <row r="219" spans="1:16" x14ac:dyDescent="0.3">
      <c r="A219" s="2" t="s">
        <v>181</v>
      </c>
      <c r="B219" s="1">
        <v>1700</v>
      </c>
      <c r="C219" s="3">
        <v>1700</v>
      </c>
      <c r="D219" s="3">
        <v>1700</v>
      </c>
      <c r="E219" s="4">
        <v>1550</v>
      </c>
      <c r="F219" s="1">
        <v>1700</v>
      </c>
      <c r="G219" s="40">
        <v>1700</v>
      </c>
      <c r="H219" s="18">
        <v>1070</v>
      </c>
      <c r="I219" s="20">
        <v>1070</v>
      </c>
      <c r="J219" s="18">
        <v>1070</v>
      </c>
      <c r="K219" s="18">
        <v>1070</v>
      </c>
      <c r="L219" s="58">
        <v>1070</v>
      </c>
      <c r="M219" s="58">
        <v>1070</v>
      </c>
      <c r="N219" s="58">
        <v>1070</v>
      </c>
      <c r="O219" s="65">
        <v>1070</v>
      </c>
      <c r="P219" s="65">
        <v>1070</v>
      </c>
    </row>
    <row r="220" spans="1:16" x14ac:dyDescent="0.3">
      <c r="A220" s="2" t="s">
        <v>182</v>
      </c>
      <c r="B220" s="1">
        <v>1100</v>
      </c>
      <c r="C220" s="3">
        <v>1100</v>
      </c>
      <c r="D220" s="3">
        <v>1325</v>
      </c>
      <c r="E220" s="4">
        <v>1325</v>
      </c>
      <c r="F220" s="1">
        <v>1325</v>
      </c>
      <c r="G220" s="40">
        <v>1325</v>
      </c>
      <c r="H220" s="18">
        <v>834</v>
      </c>
      <c r="I220" s="20" t="s">
        <v>143</v>
      </c>
      <c r="J220" s="18" t="s">
        <v>143</v>
      </c>
      <c r="K220" s="18" t="s">
        <v>143</v>
      </c>
      <c r="L220" s="18" t="s">
        <v>143</v>
      </c>
      <c r="M220" s="18" t="s">
        <v>143</v>
      </c>
      <c r="N220" s="18" t="s">
        <v>143</v>
      </c>
      <c r="O220" s="65" t="s">
        <v>143</v>
      </c>
      <c r="P220" s="65"/>
    </row>
    <row r="221" spans="1:16" x14ac:dyDescent="0.3">
      <c r="A221" s="2" t="s">
        <v>183</v>
      </c>
      <c r="B221" s="1">
        <v>975</v>
      </c>
      <c r="C221" s="3">
        <v>975</v>
      </c>
      <c r="D221" s="3">
        <v>975</v>
      </c>
      <c r="E221" s="4">
        <v>975</v>
      </c>
      <c r="F221" s="1">
        <v>975</v>
      </c>
      <c r="G221" s="40">
        <v>975</v>
      </c>
      <c r="H221" s="18">
        <v>614</v>
      </c>
      <c r="I221" s="20">
        <v>614</v>
      </c>
      <c r="J221" s="18">
        <v>614</v>
      </c>
      <c r="K221" s="18">
        <v>614</v>
      </c>
      <c r="L221" s="58">
        <v>614</v>
      </c>
      <c r="M221" s="58">
        <v>614</v>
      </c>
      <c r="N221" s="58">
        <v>614</v>
      </c>
      <c r="O221" s="65">
        <v>614</v>
      </c>
      <c r="P221" s="65">
        <v>614</v>
      </c>
    </row>
    <row r="222" spans="1:16" x14ac:dyDescent="0.3">
      <c r="A222" s="2" t="s">
        <v>184</v>
      </c>
      <c r="B222" s="1">
        <v>1325</v>
      </c>
      <c r="C222" s="3">
        <v>1325</v>
      </c>
      <c r="D222" s="3">
        <v>1325</v>
      </c>
      <c r="E222" s="4">
        <v>1325</v>
      </c>
      <c r="F222" s="1">
        <v>1325</v>
      </c>
      <c r="G222" s="40">
        <v>1325</v>
      </c>
      <c r="H222" s="18">
        <v>834.38</v>
      </c>
      <c r="I222" s="20">
        <v>834.38</v>
      </c>
      <c r="J222" s="18">
        <v>835</v>
      </c>
      <c r="K222" s="18">
        <v>835</v>
      </c>
      <c r="L222" s="58">
        <v>835</v>
      </c>
      <c r="M222" s="58">
        <v>835</v>
      </c>
      <c r="N222" s="58">
        <v>835</v>
      </c>
      <c r="O222" s="65">
        <v>835</v>
      </c>
      <c r="P222" s="65">
        <v>835</v>
      </c>
    </row>
    <row r="223" spans="1:16" x14ac:dyDescent="0.3">
      <c r="A223" s="2" t="s">
        <v>185</v>
      </c>
      <c r="B223" s="1">
        <v>1300</v>
      </c>
      <c r="C223" s="3">
        <v>1300</v>
      </c>
      <c r="D223" s="3">
        <v>1300</v>
      </c>
      <c r="E223" s="4">
        <v>1300</v>
      </c>
      <c r="F223" s="1">
        <v>1300</v>
      </c>
      <c r="G223" s="40">
        <v>1300</v>
      </c>
      <c r="H223" s="18">
        <v>819</v>
      </c>
      <c r="I223" s="20">
        <v>819</v>
      </c>
      <c r="J223" s="18">
        <v>819</v>
      </c>
      <c r="K223" s="18">
        <v>819</v>
      </c>
      <c r="L223" s="58">
        <v>819</v>
      </c>
      <c r="M223" s="58">
        <v>819</v>
      </c>
      <c r="N223" s="58">
        <v>819</v>
      </c>
      <c r="O223" s="65">
        <v>819</v>
      </c>
      <c r="P223" s="65">
        <v>819</v>
      </c>
    </row>
    <row r="224" spans="1:16" x14ac:dyDescent="0.3">
      <c r="A224" s="2" t="s">
        <v>186</v>
      </c>
      <c r="B224" s="1">
        <v>1650</v>
      </c>
      <c r="C224" s="3">
        <v>1650</v>
      </c>
      <c r="D224" s="3">
        <v>1650</v>
      </c>
      <c r="E224" s="4">
        <v>1650</v>
      </c>
      <c r="F224" s="1">
        <v>1650</v>
      </c>
      <c r="G224" s="40">
        <v>1650</v>
      </c>
      <c r="H224" s="18">
        <v>1039</v>
      </c>
      <c r="I224" s="20">
        <v>1122</v>
      </c>
      <c r="J224" s="18">
        <v>1122</v>
      </c>
      <c r="K224" s="18">
        <v>1122</v>
      </c>
      <c r="L224" s="58">
        <v>1122</v>
      </c>
      <c r="M224" s="58">
        <v>1122</v>
      </c>
      <c r="N224" s="58">
        <v>1122</v>
      </c>
      <c r="O224" s="65">
        <v>1122</v>
      </c>
      <c r="P224" s="65">
        <v>1122</v>
      </c>
    </row>
    <row r="225" spans="1:16" x14ac:dyDescent="0.3">
      <c r="A225" s="2" t="s">
        <v>187</v>
      </c>
      <c r="B225" s="1">
        <v>1650</v>
      </c>
      <c r="C225" s="3">
        <v>1650</v>
      </c>
      <c r="D225" s="3">
        <v>1650</v>
      </c>
      <c r="E225" s="4">
        <v>1650</v>
      </c>
      <c r="F225" s="1">
        <v>1650</v>
      </c>
      <c r="G225" s="40">
        <v>1650</v>
      </c>
      <c r="H225" s="18">
        <v>1039</v>
      </c>
      <c r="I225" s="20">
        <v>1039</v>
      </c>
      <c r="J225" s="18">
        <v>1039</v>
      </c>
      <c r="K225" s="18">
        <v>1039</v>
      </c>
      <c r="L225" s="58">
        <v>1039</v>
      </c>
      <c r="M225" s="58">
        <v>1039</v>
      </c>
      <c r="N225" s="58">
        <v>1039</v>
      </c>
      <c r="O225" s="65">
        <v>1039</v>
      </c>
      <c r="P225" s="60">
        <v>989</v>
      </c>
    </row>
    <row r="226" spans="1:16" x14ac:dyDescent="0.3">
      <c r="A226" s="76" t="s">
        <v>347</v>
      </c>
      <c r="B226" s="1">
        <v>1000</v>
      </c>
      <c r="C226" s="3">
        <v>1000</v>
      </c>
      <c r="D226" s="3">
        <v>1000</v>
      </c>
      <c r="E226" s="4">
        <v>1100</v>
      </c>
      <c r="F226" s="1">
        <v>1100</v>
      </c>
      <c r="G226" s="40">
        <v>1100</v>
      </c>
      <c r="H226" s="18">
        <v>692</v>
      </c>
      <c r="I226" s="20">
        <v>692</v>
      </c>
      <c r="J226" s="18">
        <v>692</v>
      </c>
      <c r="K226" s="18">
        <v>692</v>
      </c>
      <c r="L226" s="58">
        <v>692</v>
      </c>
      <c r="M226" s="58">
        <v>692</v>
      </c>
      <c r="N226" s="58">
        <v>692</v>
      </c>
      <c r="O226" s="65">
        <v>692</v>
      </c>
      <c r="P226" s="65">
        <v>725</v>
      </c>
    </row>
    <row r="227" spans="1:16" x14ac:dyDescent="0.3">
      <c r="A227" s="76" t="s">
        <v>347</v>
      </c>
      <c r="B227" s="68"/>
      <c r="C227" s="68"/>
      <c r="D227" s="68"/>
      <c r="E227" s="69"/>
      <c r="F227" s="70"/>
      <c r="G227" s="71"/>
      <c r="H227" s="72"/>
      <c r="I227" s="73"/>
      <c r="J227" s="74"/>
      <c r="K227" s="74"/>
      <c r="L227" s="75"/>
      <c r="M227" s="75"/>
      <c r="N227" s="75"/>
      <c r="O227" s="75"/>
      <c r="P227" s="75">
        <v>761.2</v>
      </c>
    </row>
    <row r="228" spans="1:16" x14ac:dyDescent="0.3">
      <c r="A228" s="76" t="s">
        <v>347</v>
      </c>
      <c r="B228" s="68"/>
      <c r="C228" s="68"/>
      <c r="D228" s="68"/>
      <c r="E228" s="69"/>
      <c r="F228" s="70"/>
      <c r="G228" s="71"/>
      <c r="H228" s="72"/>
      <c r="I228" s="73"/>
      <c r="J228" s="74"/>
      <c r="K228" s="74"/>
      <c r="L228" s="75"/>
      <c r="M228" s="75"/>
      <c r="N228" s="75"/>
      <c r="O228" s="75"/>
      <c r="P228" s="75">
        <v>795.8</v>
      </c>
    </row>
    <row r="229" spans="1:16" x14ac:dyDescent="0.3">
      <c r="A229" s="76" t="s">
        <v>347</v>
      </c>
      <c r="B229" s="68"/>
      <c r="C229" s="68"/>
      <c r="D229" s="68"/>
      <c r="E229" s="69"/>
      <c r="F229" s="70"/>
      <c r="G229" s="71"/>
      <c r="H229" s="72"/>
      <c r="I229" s="73"/>
      <c r="J229" s="74"/>
      <c r="K229" s="74"/>
      <c r="L229" s="75"/>
      <c r="M229" s="75"/>
      <c r="N229" s="75"/>
      <c r="O229" s="75"/>
      <c r="P229" s="75">
        <v>813.1</v>
      </c>
    </row>
    <row r="230" spans="1:16" x14ac:dyDescent="0.3">
      <c r="A230" s="76" t="s">
        <v>347</v>
      </c>
      <c r="B230" s="68"/>
      <c r="C230" s="68"/>
      <c r="D230" s="68"/>
      <c r="E230" s="69"/>
      <c r="F230" s="70"/>
      <c r="G230" s="71"/>
      <c r="H230" s="72"/>
      <c r="I230" s="73"/>
      <c r="J230" s="74"/>
      <c r="K230" s="74"/>
      <c r="L230" s="75"/>
      <c r="M230" s="75"/>
      <c r="N230" s="75"/>
      <c r="O230" s="75"/>
      <c r="P230" s="75">
        <v>839.96</v>
      </c>
    </row>
    <row r="231" spans="1:16" x14ac:dyDescent="0.3">
      <c r="A231" s="2" t="s">
        <v>188</v>
      </c>
      <c r="B231" s="1">
        <v>1350</v>
      </c>
      <c r="C231" s="3">
        <v>1350</v>
      </c>
      <c r="D231" s="3">
        <v>1650</v>
      </c>
      <c r="E231" s="4">
        <v>1650</v>
      </c>
      <c r="F231" s="1">
        <v>1650</v>
      </c>
      <c r="G231" s="40">
        <v>1650</v>
      </c>
      <c r="H231" s="18">
        <v>1039</v>
      </c>
      <c r="I231" s="20">
        <v>1039</v>
      </c>
      <c r="J231" s="18">
        <v>1039</v>
      </c>
      <c r="K231" s="18">
        <v>1039</v>
      </c>
      <c r="L231" s="58">
        <v>1039</v>
      </c>
      <c r="M231" s="58">
        <v>1039</v>
      </c>
      <c r="N231" s="58">
        <v>1039</v>
      </c>
      <c r="O231" s="65">
        <v>1039</v>
      </c>
      <c r="P231" s="65">
        <v>1150</v>
      </c>
    </row>
    <row r="232" spans="1:16" x14ac:dyDescent="0.3">
      <c r="A232" s="2" t="s">
        <v>189</v>
      </c>
      <c r="B232" s="1">
        <v>975</v>
      </c>
      <c r="C232" s="3">
        <v>975</v>
      </c>
      <c r="D232" s="3">
        <v>975</v>
      </c>
      <c r="E232" s="4">
        <v>975</v>
      </c>
      <c r="F232" s="1">
        <v>975</v>
      </c>
      <c r="G232" s="40">
        <v>975</v>
      </c>
      <c r="H232" s="18">
        <v>614</v>
      </c>
      <c r="I232" s="20">
        <v>614</v>
      </c>
      <c r="J232" s="18">
        <v>614</v>
      </c>
      <c r="K232" s="18">
        <v>614</v>
      </c>
      <c r="L232" s="58">
        <v>614</v>
      </c>
      <c r="M232" s="58">
        <v>614</v>
      </c>
      <c r="N232" s="58">
        <v>614</v>
      </c>
      <c r="O232" s="65">
        <v>614</v>
      </c>
      <c r="P232" s="65">
        <v>714</v>
      </c>
    </row>
    <row r="233" spans="1:16" x14ac:dyDescent="0.3">
      <c r="A233" s="76" t="s">
        <v>348</v>
      </c>
      <c r="B233" s="1">
        <v>1550</v>
      </c>
      <c r="C233" s="3">
        <v>1550</v>
      </c>
      <c r="D233" s="3">
        <v>1550</v>
      </c>
      <c r="E233" s="4">
        <v>1550</v>
      </c>
      <c r="F233" s="1">
        <v>1510</v>
      </c>
      <c r="G233" s="40">
        <v>1490</v>
      </c>
      <c r="H233" s="18">
        <v>938</v>
      </c>
      <c r="I233" s="20">
        <v>1100</v>
      </c>
      <c r="J233" s="18">
        <v>1100</v>
      </c>
      <c r="K233" s="18">
        <v>1100</v>
      </c>
      <c r="L233" s="58">
        <v>1100</v>
      </c>
      <c r="M233" s="58">
        <v>1100</v>
      </c>
      <c r="N233" s="58">
        <v>1100</v>
      </c>
      <c r="O233" s="65">
        <v>1100</v>
      </c>
      <c r="P233" s="65">
        <v>1200</v>
      </c>
    </row>
    <row r="234" spans="1:16" x14ac:dyDescent="0.3">
      <c r="A234" s="76" t="s">
        <v>348</v>
      </c>
      <c r="B234" s="68"/>
      <c r="C234" s="68"/>
      <c r="D234" s="68"/>
      <c r="E234" s="69"/>
      <c r="F234" s="70"/>
      <c r="G234" s="71"/>
      <c r="H234" s="72"/>
      <c r="I234" s="73"/>
      <c r="J234" s="74"/>
      <c r="K234" s="74"/>
      <c r="L234" s="75"/>
      <c r="M234" s="75"/>
      <c r="N234" s="75"/>
      <c r="O234" s="75"/>
      <c r="P234" s="75">
        <v>1000</v>
      </c>
    </row>
    <row r="235" spans="1:16" x14ac:dyDescent="0.3">
      <c r="A235" s="2" t="s">
        <v>190</v>
      </c>
      <c r="B235" s="1">
        <v>1450</v>
      </c>
      <c r="C235" s="3">
        <v>1450</v>
      </c>
      <c r="D235" s="3">
        <v>1450</v>
      </c>
      <c r="E235" s="4">
        <v>1450</v>
      </c>
      <c r="F235" s="1">
        <v>1450</v>
      </c>
      <c r="G235" s="40">
        <v>1450</v>
      </c>
      <c r="H235" s="18">
        <v>913</v>
      </c>
      <c r="I235" s="20">
        <v>913</v>
      </c>
      <c r="J235" s="18">
        <v>913</v>
      </c>
      <c r="K235" s="18">
        <v>913</v>
      </c>
      <c r="L235" s="58">
        <v>913</v>
      </c>
      <c r="M235" s="58">
        <v>913</v>
      </c>
      <c r="N235" s="58">
        <v>913</v>
      </c>
      <c r="O235" s="65">
        <v>913</v>
      </c>
      <c r="P235" s="65">
        <v>913</v>
      </c>
    </row>
    <row r="236" spans="1:16" x14ac:dyDescent="0.3">
      <c r="A236" s="2" t="s">
        <v>191</v>
      </c>
      <c r="B236" s="1">
        <v>1150</v>
      </c>
      <c r="C236" s="3">
        <v>1150</v>
      </c>
      <c r="D236" s="3">
        <v>1150</v>
      </c>
      <c r="E236" s="4">
        <v>1150</v>
      </c>
      <c r="F236" s="1">
        <v>1150</v>
      </c>
      <c r="G236" s="40">
        <v>1150</v>
      </c>
      <c r="H236" s="18">
        <v>838</v>
      </c>
      <c r="I236" s="17" t="s">
        <v>143</v>
      </c>
      <c r="J236" s="18" t="s">
        <v>143</v>
      </c>
      <c r="K236" s="18" t="s">
        <v>143</v>
      </c>
      <c r="L236" s="18" t="s">
        <v>143</v>
      </c>
      <c r="M236" s="18" t="s">
        <v>143</v>
      </c>
      <c r="N236" s="18" t="s">
        <v>143</v>
      </c>
      <c r="O236" s="65" t="s">
        <v>143</v>
      </c>
      <c r="P236" s="65"/>
    </row>
    <row r="237" spans="1:16" x14ac:dyDescent="0.3">
      <c r="A237" s="2" t="s">
        <v>192</v>
      </c>
      <c r="B237" s="1">
        <v>1000</v>
      </c>
      <c r="C237" s="3">
        <v>1000</v>
      </c>
      <c r="D237" s="3">
        <v>1000</v>
      </c>
      <c r="E237" s="4">
        <v>1200</v>
      </c>
      <c r="F237" s="1">
        <v>1200</v>
      </c>
      <c r="G237" s="40">
        <v>1200</v>
      </c>
      <c r="H237" s="18">
        <v>755.67</v>
      </c>
      <c r="I237" s="17">
        <v>755.67</v>
      </c>
      <c r="J237" s="18">
        <v>755</v>
      </c>
      <c r="K237" s="18">
        <v>755</v>
      </c>
      <c r="L237" s="58">
        <v>755</v>
      </c>
      <c r="M237" s="58">
        <v>755</v>
      </c>
      <c r="N237" s="58">
        <v>755</v>
      </c>
      <c r="O237" s="65">
        <v>755</v>
      </c>
      <c r="P237" s="65">
        <v>755</v>
      </c>
    </row>
    <row r="238" spans="1:16" x14ac:dyDescent="0.3">
      <c r="A238" s="2" t="s">
        <v>193</v>
      </c>
      <c r="B238" s="1">
        <v>1500</v>
      </c>
      <c r="C238" s="3">
        <v>1500</v>
      </c>
      <c r="D238" s="3">
        <v>1500</v>
      </c>
      <c r="E238" s="4">
        <v>1500</v>
      </c>
      <c r="F238" s="1">
        <v>1500</v>
      </c>
      <c r="G238" s="40">
        <v>1500</v>
      </c>
      <c r="H238" s="18">
        <v>945</v>
      </c>
      <c r="I238" s="17">
        <v>945</v>
      </c>
      <c r="J238" s="18">
        <v>945</v>
      </c>
      <c r="K238" s="18">
        <v>945</v>
      </c>
      <c r="L238" s="58">
        <v>945</v>
      </c>
      <c r="M238" s="58">
        <v>945</v>
      </c>
      <c r="N238" s="58">
        <v>945</v>
      </c>
      <c r="O238" s="65" t="s">
        <v>42</v>
      </c>
      <c r="P238" s="65"/>
    </row>
    <row r="239" spans="1:16" x14ac:dyDescent="0.3">
      <c r="A239" s="2" t="s">
        <v>194</v>
      </c>
      <c r="B239" s="1">
        <v>1800</v>
      </c>
      <c r="C239" s="3">
        <v>1800</v>
      </c>
      <c r="D239" s="3">
        <v>1800</v>
      </c>
      <c r="E239" s="4">
        <v>1800</v>
      </c>
      <c r="F239" s="1">
        <v>1800</v>
      </c>
      <c r="G239" s="40">
        <v>1800</v>
      </c>
      <c r="H239" s="18">
        <v>1134</v>
      </c>
      <c r="I239" s="17">
        <v>1134</v>
      </c>
      <c r="J239" s="18">
        <v>1134</v>
      </c>
      <c r="K239" s="18">
        <v>1134</v>
      </c>
      <c r="L239" s="58">
        <v>1134</v>
      </c>
      <c r="M239" s="58">
        <v>1134</v>
      </c>
      <c r="N239" s="58">
        <v>1134</v>
      </c>
      <c r="O239" s="65">
        <v>1134</v>
      </c>
      <c r="P239" s="65">
        <v>1134</v>
      </c>
    </row>
    <row r="240" spans="1:16" x14ac:dyDescent="0.3">
      <c r="A240" s="2" t="s">
        <v>195</v>
      </c>
      <c r="B240" s="1">
        <v>1350</v>
      </c>
      <c r="C240" s="3">
        <v>1350</v>
      </c>
      <c r="D240" s="3">
        <v>1350</v>
      </c>
      <c r="E240" s="4">
        <v>1350</v>
      </c>
      <c r="F240" s="1">
        <v>1350</v>
      </c>
      <c r="G240" s="40">
        <v>1350</v>
      </c>
      <c r="H240" s="18">
        <v>850</v>
      </c>
      <c r="I240" s="17">
        <v>850</v>
      </c>
      <c r="J240" s="18">
        <v>850</v>
      </c>
      <c r="K240" s="18">
        <v>850</v>
      </c>
      <c r="L240" s="58">
        <v>850</v>
      </c>
      <c r="M240" s="58">
        <v>850</v>
      </c>
      <c r="N240" s="58">
        <v>850</v>
      </c>
      <c r="O240" s="65">
        <v>850</v>
      </c>
      <c r="P240" s="65">
        <v>850</v>
      </c>
    </row>
    <row r="241" spans="1:16" x14ac:dyDescent="0.3">
      <c r="A241" s="2" t="s">
        <v>196</v>
      </c>
      <c r="B241" s="1">
        <v>1450</v>
      </c>
      <c r="C241" s="3">
        <v>1450</v>
      </c>
      <c r="D241" s="3">
        <v>1450</v>
      </c>
      <c r="E241" s="4">
        <v>1450</v>
      </c>
      <c r="F241" s="1">
        <v>1450</v>
      </c>
      <c r="G241" s="40">
        <v>1450</v>
      </c>
      <c r="H241" s="18">
        <v>910</v>
      </c>
      <c r="I241" s="17">
        <v>910</v>
      </c>
      <c r="J241" s="18">
        <v>910</v>
      </c>
      <c r="K241" s="18">
        <v>910</v>
      </c>
      <c r="L241" s="58">
        <v>910</v>
      </c>
      <c r="M241" s="58">
        <v>910</v>
      </c>
      <c r="N241" s="58">
        <v>910</v>
      </c>
      <c r="O241" s="65" t="s">
        <v>42</v>
      </c>
      <c r="P241" s="65"/>
    </row>
    <row r="242" spans="1:16" x14ac:dyDescent="0.3">
      <c r="A242" s="66" t="s">
        <v>197</v>
      </c>
      <c r="B242" s="50"/>
      <c r="C242" s="50"/>
      <c r="D242" s="50"/>
      <c r="E242" s="51"/>
      <c r="F242" s="52"/>
      <c r="G242" s="53"/>
      <c r="H242" s="54"/>
      <c r="I242" s="55"/>
      <c r="J242" s="21"/>
      <c r="K242" s="21"/>
      <c r="L242" s="58"/>
      <c r="M242" s="58"/>
      <c r="N242" s="58"/>
      <c r="O242" s="58">
        <v>910</v>
      </c>
      <c r="P242" s="65">
        <v>910</v>
      </c>
    </row>
    <row r="243" spans="1:16" x14ac:dyDescent="0.3">
      <c r="A243" s="2" t="s">
        <v>198</v>
      </c>
      <c r="B243" s="1">
        <v>1100</v>
      </c>
      <c r="C243" s="3">
        <v>1100</v>
      </c>
      <c r="D243" s="3">
        <v>1100</v>
      </c>
      <c r="E243" s="4">
        <v>1100</v>
      </c>
      <c r="F243" s="1">
        <v>1100</v>
      </c>
      <c r="G243" s="40">
        <v>1100</v>
      </c>
      <c r="H243" s="18">
        <v>692</v>
      </c>
      <c r="I243" s="17">
        <v>692</v>
      </c>
      <c r="J243" s="18">
        <v>692</v>
      </c>
      <c r="K243" s="18">
        <v>692</v>
      </c>
      <c r="L243" s="58">
        <v>692</v>
      </c>
      <c r="M243" s="58">
        <v>692</v>
      </c>
      <c r="N243" s="58">
        <v>692</v>
      </c>
      <c r="O243" s="65">
        <v>692</v>
      </c>
      <c r="P243" s="65">
        <v>820</v>
      </c>
    </row>
    <row r="244" spans="1:16" x14ac:dyDescent="0.3">
      <c r="A244" s="2" t="s">
        <v>199</v>
      </c>
      <c r="B244" s="1">
        <v>1900</v>
      </c>
      <c r="C244" s="3">
        <v>1900</v>
      </c>
      <c r="D244" s="3">
        <v>1900</v>
      </c>
      <c r="E244" s="4">
        <v>1900</v>
      </c>
      <c r="F244" s="1">
        <v>1900</v>
      </c>
      <c r="G244" s="40">
        <v>1900</v>
      </c>
      <c r="H244" s="18">
        <v>1196</v>
      </c>
      <c r="I244" s="17">
        <v>1196</v>
      </c>
      <c r="J244" s="18">
        <v>1196</v>
      </c>
      <c r="K244" s="18">
        <v>1196</v>
      </c>
      <c r="L244" s="21">
        <v>1196</v>
      </c>
      <c r="M244" s="21">
        <v>1196</v>
      </c>
      <c r="N244" s="58">
        <v>1196</v>
      </c>
      <c r="O244" s="65">
        <v>1196</v>
      </c>
      <c r="P244" s="65">
        <v>1196</v>
      </c>
    </row>
    <row r="245" spans="1:16" x14ac:dyDescent="0.3">
      <c r="A245" s="2" t="s">
        <v>200</v>
      </c>
      <c r="B245" s="1">
        <v>1600</v>
      </c>
      <c r="C245" s="3">
        <v>1650</v>
      </c>
      <c r="D245" s="3">
        <v>1650</v>
      </c>
      <c r="E245" s="4">
        <v>1650</v>
      </c>
      <c r="F245" s="1">
        <v>1650</v>
      </c>
      <c r="G245" s="40">
        <v>1650</v>
      </c>
      <c r="H245" s="18">
        <v>1039</v>
      </c>
      <c r="I245" s="17">
        <v>1039</v>
      </c>
      <c r="J245" s="18">
        <v>1039</v>
      </c>
      <c r="K245" s="18">
        <v>1039</v>
      </c>
      <c r="L245" s="58">
        <v>1039</v>
      </c>
      <c r="M245" s="58">
        <v>1039</v>
      </c>
      <c r="N245" s="58">
        <v>1039</v>
      </c>
      <c r="O245" s="65" t="s">
        <v>42</v>
      </c>
      <c r="P245" s="65"/>
    </row>
    <row r="246" spans="1:16" x14ac:dyDescent="0.3">
      <c r="A246" s="2" t="s">
        <v>201</v>
      </c>
      <c r="B246" s="1">
        <v>1750</v>
      </c>
      <c r="C246" s="3">
        <v>1750</v>
      </c>
      <c r="D246" s="3">
        <v>1750</v>
      </c>
      <c r="E246" s="4">
        <v>1750</v>
      </c>
      <c r="F246" s="1">
        <v>1750</v>
      </c>
      <c r="G246" s="40">
        <v>1750</v>
      </c>
      <c r="H246" s="18">
        <v>1102</v>
      </c>
      <c r="I246" s="17">
        <v>1102</v>
      </c>
      <c r="J246" s="18">
        <v>1202</v>
      </c>
      <c r="K246" s="18">
        <v>1202</v>
      </c>
      <c r="L246" s="58">
        <v>1202</v>
      </c>
      <c r="M246" s="58">
        <v>1202</v>
      </c>
      <c r="N246" s="58">
        <v>1202</v>
      </c>
      <c r="O246" s="65">
        <v>1202</v>
      </c>
      <c r="P246" s="65">
        <v>1202</v>
      </c>
    </row>
    <row r="247" spans="1:16" x14ac:dyDescent="0.3">
      <c r="A247" s="2" t="s">
        <v>202</v>
      </c>
      <c r="B247" s="1">
        <v>1100</v>
      </c>
      <c r="C247" s="3">
        <v>1860</v>
      </c>
      <c r="D247" s="3">
        <v>1860</v>
      </c>
      <c r="E247" s="4">
        <v>1860</v>
      </c>
      <c r="F247" s="1">
        <v>1860</v>
      </c>
      <c r="G247" s="40">
        <v>1860</v>
      </c>
      <c r="H247" s="18">
        <v>1170</v>
      </c>
      <c r="I247" s="17">
        <v>1170</v>
      </c>
      <c r="J247" s="18">
        <v>1170</v>
      </c>
      <c r="K247" s="18">
        <v>1170</v>
      </c>
      <c r="L247" s="58">
        <v>1170</v>
      </c>
      <c r="M247" s="58">
        <v>1170</v>
      </c>
      <c r="N247" s="58">
        <v>1170</v>
      </c>
      <c r="O247" s="65" t="s">
        <v>42</v>
      </c>
      <c r="P247" s="65"/>
    </row>
    <row r="248" spans="1:16" x14ac:dyDescent="0.3">
      <c r="A248" s="2" t="s">
        <v>203</v>
      </c>
      <c r="B248" s="1">
        <v>1200</v>
      </c>
      <c r="C248" s="3">
        <v>1200</v>
      </c>
      <c r="D248" s="3">
        <v>1200</v>
      </c>
      <c r="E248" s="4">
        <v>1200</v>
      </c>
      <c r="F248" s="1">
        <v>1200</v>
      </c>
      <c r="G248" s="40">
        <v>1200</v>
      </c>
      <c r="H248" s="18">
        <v>756</v>
      </c>
      <c r="I248" s="17">
        <v>756</v>
      </c>
      <c r="J248" s="18">
        <v>756</v>
      </c>
      <c r="K248" s="18">
        <v>756</v>
      </c>
      <c r="L248" s="58">
        <v>756</v>
      </c>
      <c r="M248" s="58">
        <v>756</v>
      </c>
      <c r="N248" s="58">
        <v>756</v>
      </c>
      <c r="O248" s="65">
        <v>756</v>
      </c>
      <c r="P248" s="65">
        <v>756</v>
      </c>
    </row>
    <row r="249" spans="1:16" x14ac:dyDescent="0.3">
      <c r="A249" s="2" t="s">
        <v>204</v>
      </c>
      <c r="B249" s="1">
        <v>1800</v>
      </c>
      <c r="C249" s="3">
        <v>1800</v>
      </c>
      <c r="D249" s="3">
        <v>1800</v>
      </c>
      <c r="E249" s="4">
        <v>1800</v>
      </c>
      <c r="F249" s="1">
        <v>1800</v>
      </c>
      <c r="G249" s="40">
        <v>1800</v>
      </c>
      <c r="H249" s="18">
        <v>1134</v>
      </c>
      <c r="I249" s="17">
        <v>1134</v>
      </c>
      <c r="J249" s="18">
        <v>1134</v>
      </c>
      <c r="K249" s="18">
        <v>1134</v>
      </c>
      <c r="L249" s="58">
        <v>1134</v>
      </c>
      <c r="M249" s="58">
        <v>1134</v>
      </c>
      <c r="N249" s="58">
        <v>1134</v>
      </c>
      <c r="O249" s="65">
        <v>1134</v>
      </c>
      <c r="P249" s="65">
        <v>1134</v>
      </c>
    </row>
    <row r="250" spans="1:16" x14ac:dyDescent="0.3">
      <c r="A250" s="2" t="s">
        <v>205</v>
      </c>
      <c r="B250" s="1">
        <v>1125</v>
      </c>
      <c r="C250" s="3">
        <v>1125</v>
      </c>
      <c r="D250" s="3">
        <v>1125</v>
      </c>
      <c r="E250" s="4">
        <v>1125</v>
      </c>
      <c r="F250" s="1">
        <v>1125</v>
      </c>
      <c r="G250" s="40">
        <v>1125</v>
      </c>
      <c r="H250" s="18">
        <v>708</v>
      </c>
      <c r="I250" s="17">
        <v>708</v>
      </c>
      <c r="J250" s="18">
        <v>830</v>
      </c>
      <c r="K250" s="18">
        <v>830</v>
      </c>
      <c r="L250" s="58">
        <v>830</v>
      </c>
      <c r="M250" s="58">
        <v>830</v>
      </c>
      <c r="N250" s="58">
        <v>830</v>
      </c>
      <c r="O250" s="65">
        <v>830</v>
      </c>
      <c r="P250" s="65">
        <v>895</v>
      </c>
    </row>
    <row r="251" spans="1:16" x14ac:dyDescent="0.3">
      <c r="A251" s="2" t="s">
        <v>206</v>
      </c>
      <c r="B251" s="1">
        <v>1150</v>
      </c>
      <c r="C251" s="3">
        <v>1150</v>
      </c>
      <c r="D251" s="3">
        <v>1250</v>
      </c>
      <c r="E251" s="4">
        <v>1250</v>
      </c>
      <c r="F251" s="1">
        <v>1250</v>
      </c>
      <c r="G251" s="40">
        <v>1250</v>
      </c>
      <c r="H251" s="18">
        <v>787</v>
      </c>
      <c r="I251" s="20">
        <v>787</v>
      </c>
      <c r="J251" s="18">
        <v>787</v>
      </c>
      <c r="K251" s="18">
        <v>787</v>
      </c>
      <c r="L251" s="58">
        <v>787</v>
      </c>
      <c r="M251" s="58">
        <v>787</v>
      </c>
      <c r="N251" s="58">
        <v>787</v>
      </c>
      <c r="O251" s="65" t="s">
        <v>42</v>
      </c>
      <c r="P251" s="65"/>
    </row>
    <row r="252" spans="1:16" x14ac:dyDescent="0.3">
      <c r="A252" s="66" t="s">
        <v>207</v>
      </c>
      <c r="B252" s="50"/>
      <c r="C252" s="50"/>
      <c r="D252" s="50"/>
      <c r="E252" s="51"/>
      <c r="F252" s="52"/>
      <c r="G252" s="53"/>
      <c r="H252" s="54"/>
      <c r="I252" s="55"/>
      <c r="J252" s="21"/>
      <c r="K252" s="21"/>
      <c r="L252" s="58"/>
      <c r="M252" s="58"/>
      <c r="N252" s="58"/>
      <c r="O252" s="58">
        <v>787</v>
      </c>
      <c r="P252" s="65">
        <v>787</v>
      </c>
    </row>
    <row r="253" spans="1:16" x14ac:dyDescent="0.3">
      <c r="A253" s="2" t="s">
        <v>208</v>
      </c>
      <c r="B253" s="1">
        <v>1250</v>
      </c>
      <c r="C253" s="3">
        <v>1250</v>
      </c>
      <c r="D253" s="3">
        <v>1250</v>
      </c>
      <c r="E253" s="4">
        <v>1250</v>
      </c>
      <c r="F253" s="1">
        <v>1250</v>
      </c>
      <c r="G253" s="40">
        <v>1250</v>
      </c>
      <c r="H253" s="18">
        <v>787</v>
      </c>
      <c r="I253" s="17" t="s">
        <v>143</v>
      </c>
      <c r="J253" s="18" t="s">
        <v>143</v>
      </c>
      <c r="K253" s="18" t="s">
        <v>143</v>
      </c>
      <c r="L253" s="18" t="s">
        <v>143</v>
      </c>
      <c r="M253" s="18" t="s">
        <v>143</v>
      </c>
      <c r="N253" s="18" t="s">
        <v>143</v>
      </c>
      <c r="O253" s="65" t="s">
        <v>143</v>
      </c>
      <c r="P253" s="65"/>
    </row>
    <row r="254" spans="1:16" x14ac:dyDescent="0.3">
      <c r="A254" s="2" t="s">
        <v>209</v>
      </c>
      <c r="B254" s="1">
        <v>1575</v>
      </c>
      <c r="C254" s="3">
        <v>1575</v>
      </c>
      <c r="D254" s="3">
        <v>1575</v>
      </c>
      <c r="E254" s="4">
        <v>1575</v>
      </c>
      <c r="F254" s="1">
        <v>1575</v>
      </c>
      <c r="G254" s="40">
        <v>1575</v>
      </c>
      <c r="H254" s="18">
        <v>992</v>
      </c>
      <c r="I254" s="17" t="s">
        <v>143</v>
      </c>
      <c r="J254" s="18" t="s">
        <v>143</v>
      </c>
      <c r="K254" s="18" t="s">
        <v>143</v>
      </c>
      <c r="L254" s="18" t="s">
        <v>143</v>
      </c>
      <c r="M254" s="18" t="s">
        <v>143</v>
      </c>
      <c r="N254" s="18" t="s">
        <v>143</v>
      </c>
      <c r="O254" s="65" t="s">
        <v>143</v>
      </c>
      <c r="P254" s="65"/>
    </row>
    <row r="255" spans="1:16" x14ac:dyDescent="0.3">
      <c r="A255" s="2" t="s">
        <v>210</v>
      </c>
      <c r="B255" s="1">
        <v>1550</v>
      </c>
      <c r="C255" s="3">
        <v>1550</v>
      </c>
      <c r="D255" s="3">
        <v>1550</v>
      </c>
      <c r="E255" s="4">
        <v>1550</v>
      </c>
      <c r="F255" s="1">
        <v>1550</v>
      </c>
      <c r="G255" s="40">
        <v>1550</v>
      </c>
      <c r="H255" s="18">
        <v>976</v>
      </c>
      <c r="I255" s="20">
        <v>976</v>
      </c>
      <c r="J255" s="18">
        <v>1263</v>
      </c>
      <c r="K255" s="18">
        <v>1263</v>
      </c>
      <c r="L255" s="21">
        <v>1263</v>
      </c>
      <c r="M255" s="21">
        <v>1263</v>
      </c>
      <c r="N255" s="58">
        <v>1263</v>
      </c>
      <c r="O255" s="65">
        <v>1263</v>
      </c>
      <c r="P255" s="65">
        <v>1263</v>
      </c>
    </row>
    <row r="256" spans="1:16" x14ac:dyDescent="0.3">
      <c r="A256" s="2" t="s">
        <v>211</v>
      </c>
      <c r="B256" s="1">
        <v>1500</v>
      </c>
      <c r="C256" s="3">
        <v>1500</v>
      </c>
      <c r="D256" s="3">
        <v>1500</v>
      </c>
      <c r="E256" s="4">
        <v>1500</v>
      </c>
      <c r="F256" s="1">
        <v>1500</v>
      </c>
      <c r="G256" s="40">
        <v>1500</v>
      </c>
      <c r="H256" s="18">
        <v>945</v>
      </c>
      <c r="I256" s="20">
        <v>945</v>
      </c>
      <c r="J256" s="18">
        <v>945</v>
      </c>
      <c r="K256" s="18">
        <v>945</v>
      </c>
      <c r="L256" s="58">
        <v>945</v>
      </c>
      <c r="M256" s="58">
        <v>945</v>
      </c>
      <c r="N256" s="58">
        <v>945</v>
      </c>
      <c r="O256" s="65">
        <v>945</v>
      </c>
      <c r="P256" s="65">
        <v>945</v>
      </c>
    </row>
    <row r="257" spans="1:16" x14ac:dyDescent="0.3">
      <c r="A257" s="2" t="s">
        <v>212</v>
      </c>
      <c r="B257" s="1">
        <v>1700</v>
      </c>
      <c r="C257" s="3">
        <v>1700</v>
      </c>
      <c r="D257" s="3">
        <v>1700</v>
      </c>
      <c r="E257" s="4">
        <v>1700</v>
      </c>
      <c r="F257" s="1">
        <v>1700</v>
      </c>
      <c r="G257" s="40">
        <v>1700</v>
      </c>
      <c r="H257" s="18">
        <v>1071</v>
      </c>
      <c r="I257" s="20">
        <v>1071</v>
      </c>
      <c r="J257" s="18">
        <v>1071</v>
      </c>
      <c r="K257" s="18">
        <v>1071</v>
      </c>
      <c r="L257" s="58">
        <v>1071</v>
      </c>
      <c r="M257" s="58">
        <v>1071</v>
      </c>
      <c r="N257" s="58">
        <v>1071</v>
      </c>
      <c r="O257" s="65">
        <v>1071</v>
      </c>
      <c r="P257" s="65">
        <v>1071</v>
      </c>
    </row>
    <row r="258" spans="1:16" x14ac:dyDescent="0.3">
      <c r="A258" s="2" t="s">
        <v>213</v>
      </c>
      <c r="B258" s="1">
        <v>1300</v>
      </c>
      <c r="C258" s="3">
        <v>1300</v>
      </c>
      <c r="D258" s="3">
        <v>1300</v>
      </c>
      <c r="E258" s="4">
        <v>1300</v>
      </c>
      <c r="F258" s="1">
        <v>1300</v>
      </c>
      <c r="G258" s="40">
        <v>1300</v>
      </c>
      <c r="H258" s="18">
        <v>819</v>
      </c>
      <c r="I258" s="20">
        <v>819</v>
      </c>
      <c r="J258" s="18">
        <v>819</v>
      </c>
      <c r="K258" s="18">
        <v>819</v>
      </c>
      <c r="L258" s="58">
        <v>819</v>
      </c>
      <c r="M258" s="58">
        <v>819</v>
      </c>
      <c r="N258" s="58">
        <v>819</v>
      </c>
      <c r="O258" s="65">
        <v>819</v>
      </c>
      <c r="P258" s="65">
        <v>819</v>
      </c>
    </row>
    <row r="259" spans="1:16" x14ac:dyDescent="0.3">
      <c r="A259" s="2" t="s">
        <v>214</v>
      </c>
      <c r="B259" s="1">
        <v>1375</v>
      </c>
      <c r="C259" s="3">
        <v>1375</v>
      </c>
      <c r="D259" s="3">
        <v>1375</v>
      </c>
      <c r="E259" s="4">
        <v>1375</v>
      </c>
      <c r="F259" s="1">
        <v>1375</v>
      </c>
      <c r="G259" s="40">
        <v>1375</v>
      </c>
      <c r="H259" s="18">
        <v>866</v>
      </c>
      <c r="I259" s="20">
        <v>866</v>
      </c>
      <c r="J259" s="18">
        <v>866</v>
      </c>
      <c r="K259" s="18">
        <v>866</v>
      </c>
      <c r="L259" s="58">
        <v>866</v>
      </c>
      <c r="M259" s="58">
        <v>866</v>
      </c>
      <c r="N259" s="58">
        <v>866</v>
      </c>
      <c r="O259" s="65">
        <v>866</v>
      </c>
      <c r="P259" s="65">
        <v>940</v>
      </c>
    </row>
    <row r="260" spans="1:16" x14ac:dyDescent="0.3">
      <c r="A260" s="76" t="s">
        <v>349</v>
      </c>
      <c r="B260" s="1">
        <v>1000</v>
      </c>
      <c r="C260" s="3">
        <v>1000</v>
      </c>
      <c r="D260" s="3">
        <v>1000</v>
      </c>
      <c r="E260" s="4">
        <v>1000</v>
      </c>
      <c r="F260" s="1">
        <v>1000</v>
      </c>
      <c r="G260" s="40">
        <v>1000</v>
      </c>
      <c r="H260" s="18">
        <v>630</v>
      </c>
      <c r="I260" s="20">
        <v>630</v>
      </c>
      <c r="J260" s="18">
        <v>630</v>
      </c>
      <c r="K260" s="18">
        <v>630</v>
      </c>
      <c r="L260" s="58">
        <v>630</v>
      </c>
      <c r="M260" s="18">
        <v>750</v>
      </c>
      <c r="N260" s="58">
        <v>750</v>
      </c>
      <c r="O260" s="65">
        <v>750</v>
      </c>
      <c r="P260" s="65">
        <v>750</v>
      </c>
    </row>
    <row r="261" spans="1:16" x14ac:dyDescent="0.3">
      <c r="A261" s="76" t="s">
        <v>349</v>
      </c>
      <c r="B261" s="68"/>
      <c r="C261" s="68"/>
      <c r="D261" s="68"/>
      <c r="E261" s="69"/>
      <c r="F261" s="70"/>
      <c r="G261" s="71"/>
      <c r="H261" s="72"/>
      <c r="I261" s="73"/>
      <c r="J261" s="74"/>
      <c r="K261" s="74"/>
      <c r="L261" s="75"/>
      <c r="M261" s="74"/>
      <c r="N261" s="75"/>
      <c r="O261" s="75"/>
      <c r="P261" s="75">
        <v>900</v>
      </c>
    </row>
    <row r="262" spans="1:16" x14ac:dyDescent="0.3">
      <c r="A262" s="2" t="s">
        <v>215</v>
      </c>
      <c r="B262" s="1">
        <v>2000</v>
      </c>
      <c r="C262" s="3">
        <v>2000</v>
      </c>
      <c r="D262" s="3">
        <v>2000</v>
      </c>
      <c r="E262" s="4">
        <v>2000</v>
      </c>
      <c r="F262" s="1">
        <v>2000</v>
      </c>
      <c r="G262" s="40">
        <v>2000</v>
      </c>
      <c r="H262" s="18">
        <v>1259.45</v>
      </c>
      <c r="I262" s="20">
        <v>1259.45</v>
      </c>
      <c r="J262" s="18">
        <v>1259.45</v>
      </c>
      <c r="K262" s="18">
        <v>1259.45</v>
      </c>
      <c r="L262" s="58">
        <v>1259.45</v>
      </c>
      <c r="M262" s="58">
        <v>1259.45</v>
      </c>
      <c r="N262" s="58">
        <v>1259.45</v>
      </c>
      <c r="O262" s="65">
        <v>1259.45</v>
      </c>
      <c r="P262" s="65">
        <v>1259.45</v>
      </c>
    </row>
    <row r="263" spans="1:16" x14ac:dyDescent="0.3">
      <c r="A263" s="2" t="s">
        <v>216</v>
      </c>
      <c r="B263" s="1">
        <v>1200</v>
      </c>
      <c r="C263" s="3">
        <v>1200</v>
      </c>
      <c r="D263" s="3">
        <v>1200</v>
      </c>
      <c r="E263" s="4">
        <v>1200</v>
      </c>
      <c r="F263" s="1">
        <v>1200</v>
      </c>
      <c r="G263" s="40">
        <v>1200</v>
      </c>
      <c r="H263" s="18">
        <v>756</v>
      </c>
      <c r="I263" s="20">
        <v>756</v>
      </c>
      <c r="J263" s="18">
        <v>950</v>
      </c>
      <c r="K263" s="18">
        <v>950</v>
      </c>
      <c r="L263" s="58">
        <v>950</v>
      </c>
      <c r="M263" s="58">
        <v>950</v>
      </c>
      <c r="N263" s="58">
        <v>950</v>
      </c>
      <c r="O263" s="65">
        <v>950</v>
      </c>
      <c r="P263" s="65">
        <v>950</v>
      </c>
    </row>
    <row r="264" spans="1:16" x14ac:dyDescent="0.3">
      <c r="A264" s="2" t="s">
        <v>217</v>
      </c>
      <c r="B264" s="1">
        <v>1300</v>
      </c>
      <c r="C264" s="3">
        <v>1300</v>
      </c>
      <c r="D264" s="3">
        <v>1500</v>
      </c>
      <c r="E264" s="4">
        <v>1500</v>
      </c>
      <c r="F264" s="1">
        <v>1500</v>
      </c>
      <c r="G264" s="40">
        <v>1500</v>
      </c>
      <c r="H264" s="18">
        <v>945</v>
      </c>
      <c r="I264" s="20">
        <v>945</v>
      </c>
      <c r="J264" s="18">
        <v>945</v>
      </c>
      <c r="K264" s="18">
        <v>945</v>
      </c>
      <c r="L264" s="58">
        <v>945</v>
      </c>
      <c r="M264" s="58">
        <v>945</v>
      </c>
      <c r="N264" s="58">
        <v>945</v>
      </c>
      <c r="O264" s="65">
        <v>945</v>
      </c>
      <c r="P264" s="65">
        <v>945</v>
      </c>
    </row>
    <row r="265" spans="1:16" x14ac:dyDescent="0.3">
      <c r="A265" s="2" t="s">
        <v>218</v>
      </c>
      <c r="B265" s="1">
        <v>1200</v>
      </c>
      <c r="C265" s="3">
        <v>1200</v>
      </c>
      <c r="D265" s="3">
        <v>1300</v>
      </c>
      <c r="E265" s="4">
        <v>1300</v>
      </c>
      <c r="F265" s="1">
        <v>1300</v>
      </c>
      <c r="G265" s="40">
        <v>1300</v>
      </c>
      <c r="H265" s="18">
        <v>820</v>
      </c>
      <c r="I265" s="20">
        <v>820</v>
      </c>
      <c r="J265" s="18">
        <v>1020</v>
      </c>
      <c r="K265" s="18">
        <v>1020</v>
      </c>
      <c r="L265" s="58">
        <v>1020</v>
      </c>
      <c r="M265" s="58">
        <v>1020</v>
      </c>
      <c r="N265" s="58">
        <v>1020</v>
      </c>
      <c r="O265" s="65">
        <v>1020</v>
      </c>
      <c r="P265" s="65">
        <v>1070</v>
      </c>
    </row>
    <row r="266" spans="1:16" x14ac:dyDescent="0.3">
      <c r="A266" s="2" t="s">
        <v>219</v>
      </c>
      <c r="B266" s="1">
        <v>1280</v>
      </c>
      <c r="C266" s="3">
        <v>1280</v>
      </c>
      <c r="D266" s="3">
        <v>1330</v>
      </c>
      <c r="E266" s="4">
        <v>1330</v>
      </c>
      <c r="F266" s="1">
        <v>1330</v>
      </c>
      <c r="G266" s="40">
        <v>1330</v>
      </c>
      <c r="H266" s="18">
        <v>838</v>
      </c>
      <c r="I266" s="17" t="s">
        <v>143</v>
      </c>
      <c r="J266" s="18" t="s">
        <v>143</v>
      </c>
      <c r="K266" s="18" t="s">
        <v>143</v>
      </c>
      <c r="L266" s="18" t="s">
        <v>143</v>
      </c>
      <c r="M266" s="18" t="s">
        <v>143</v>
      </c>
      <c r="N266" s="18" t="s">
        <v>143</v>
      </c>
      <c r="O266" s="65" t="s">
        <v>143</v>
      </c>
      <c r="P266" s="65"/>
    </row>
    <row r="267" spans="1:16" x14ac:dyDescent="0.3">
      <c r="A267" s="2" t="s">
        <v>220</v>
      </c>
      <c r="B267" s="1">
        <v>1350</v>
      </c>
      <c r="C267" s="3">
        <v>1350</v>
      </c>
      <c r="D267" s="3">
        <v>1350</v>
      </c>
      <c r="E267" s="4">
        <v>1350</v>
      </c>
      <c r="F267" s="1">
        <v>1350</v>
      </c>
      <c r="G267" s="40">
        <v>1350</v>
      </c>
      <c r="H267" s="18">
        <v>850.13</v>
      </c>
      <c r="I267" s="17">
        <v>850.13</v>
      </c>
      <c r="J267" s="18">
        <v>850.13</v>
      </c>
      <c r="K267" s="18">
        <v>850.13</v>
      </c>
      <c r="L267" s="58">
        <v>850.13</v>
      </c>
      <c r="M267" s="58">
        <v>850.13</v>
      </c>
      <c r="N267" s="58">
        <v>850.13</v>
      </c>
      <c r="O267" s="65">
        <v>850.13</v>
      </c>
      <c r="P267" s="65">
        <v>850.13</v>
      </c>
    </row>
    <row r="268" spans="1:16" x14ac:dyDescent="0.3">
      <c r="A268" s="2" t="s">
        <v>221</v>
      </c>
      <c r="B268" s="1">
        <v>1200</v>
      </c>
      <c r="C268" s="3">
        <v>1200</v>
      </c>
      <c r="D268" s="3">
        <v>1200</v>
      </c>
      <c r="E268" s="4">
        <v>1100</v>
      </c>
      <c r="F268" s="1">
        <v>1200</v>
      </c>
      <c r="G268" s="40">
        <v>1200</v>
      </c>
      <c r="H268" s="18">
        <v>756</v>
      </c>
      <c r="I268" s="17">
        <v>756</v>
      </c>
      <c r="J268" s="18">
        <v>756</v>
      </c>
      <c r="K268" s="18">
        <v>756</v>
      </c>
      <c r="L268" s="58">
        <v>756</v>
      </c>
      <c r="M268" s="58">
        <v>756</v>
      </c>
      <c r="N268" s="58">
        <v>756</v>
      </c>
      <c r="O268" s="65">
        <v>756</v>
      </c>
      <c r="P268" s="65">
        <v>756</v>
      </c>
    </row>
    <row r="269" spans="1:16" x14ac:dyDescent="0.3">
      <c r="A269" s="2" t="s">
        <v>222</v>
      </c>
      <c r="B269" s="1">
        <v>1900</v>
      </c>
      <c r="C269" s="3">
        <v>1900</v>
      </c>
      <c r="D269" s="3">
        <v>1900</v>
      </c>
      <c r="E269" s="4">
        <v>1200</v>
      </c>
      <c r="F269" s="1">
        <v>1900</v>
      </c>
      <c r="G269" s="40">
        <v>1900</v>
      </c>
      <c r="H269" s="18">
        <v>1196</v>
      </c>
      <c r="I269" s="17">
        <v>1196</v>
      </c>
      <c r="J269" s="18">
        <v>1243</v>
      </c>
      <c r="K269" s="18">
        <v>1243</v>
      </c>
      <c r="L269" s="21">
        <v>1243</v>
      </c>
      <c r="M269" s="21">
        <v>1243</v>
      </c>
      <c r="N269" s="58">
        <v>1243</v>
      </c>
      <c r="O269" s="65">
        <v>1243</v>
      </c>
      <c r="P269" s="65">
        <v>1243</v>
      </c>
    </row>
    <row r="270" spans="1:16" x14ac:dyDescent="0.3">
      <c r="A270" s="2" t="s">
        <v>223</v>
      </c>
      <c r="B270" s="1">
        <v>750</v>
      </c>
      <c r="C270" s="3">
        <v>750</v>
      </c>
      <c r="D270" s="3">
        <v>1100</v>
      </c>
      <c r="E270" s="4">
        <v>1200</v>
      </c>
      <c r="F270" s="1">
        <v>1100</v>
      </c>
      <c r="G270" s="40">
        <v>1100</v>
      </c>
      <c r="H270" s="18">
        <v>693</v>
      </c>
      <c r="I270" s="20">
        <v>693</v>
      </c>
      <c r="J270" s="18">
        <v>693</v>
      </c>
      <c r="K270" s="18">
        <v>693</v>
      </c>
      <c r="L270" s="58">
        <v>693</v>
      </c>
      <c r="M270" s="58">
        <v>693</v>
      </c>
      <c r="N270" s="58">
        <v>693</v>
      </c>
      <c r="O270" s="65">
        <v>693</v>
      </c>
      <c r="P270" s="65">
        <v>693</v>
      </c>
    </row>
    <row r="271" spans="1:16" x14ac:dyDescent="0.3">
      <c r="A271" s="2" t="s">
        <v>224</v>
      </c>
      <c r="B271" s="13" t="s">
        <v>154</v>
      </c>
      <c r="C271" s="13" t="s">
        <v>154</v>
      </c>
      <c r="D271" s="13" t="s">
        <v>154</v>
      </c>
      <c r="E271" s="13" t="s">
        <v>154</v>
      </c>
      <c r="F271" s="13" t="s">
        <v>154</v>
      </c>
      <c r="G271" s="42" t="s">
        <v>154</v>
      </c>
      <c r="H271" s="17" t="s">
        <v>154</v>
      </c>
      <c r="I271" s="17" t="s">
        <v>225</v>
      </c>
      <c r="J271" s="18" t="s">
        <v>225</v>
      </c>
      <c r="K271" s="18" t="s">
        <v>225</v>
      </c>
      <c r="L271" s="58">
        <v>838</v>
      </c>
      <c r="M271" s="58">
        <v>838</v>
      </c>
      <c r="N271" s="58">
        <v>838</v>
      </c>
      <c r="O271" s="65">
        <v>838</v>
      </c>
      <c r="P271" s="65">
        <v>838</v>
      </c>
    </row>
    <row r="272" spans="1:16" x14ac:dyDescent="0.3">
      <c r="A272" s="2" t="s">
        <v>226</v>
      </c>
      <c r="B272" s="1">
        <v>800</v>
      </c>
      <c r="C272" s="3">
        <v>800</v>
      </c>
      <c r="D272" s="3">
        <v>800</v>
      </c>
      <c r="E272" s="4">
        <v>1900</v>
      </c>
      <c r="F272" s="1">
        <v>1200</v>
      </c>
      <c r="G272" s="40">
        <v>1200</v>
      </c>
      <c r="H272" s="18">
        <v>756</v>
      </c>
      <c r="I272" s="17">
        <v>756</v>
      </c>
      <c r="J272" s="18">
        <v>756</v>
      </c>
      <c r="K272" s="18">
        <v>756</v>
      </c>
      <c r="L272" s="21">
        <v>756</v>
      </c>
      <c r="M272" s="21">
        <v>756</v>
      </c>
      <c r="N272" s="58">
        <v>756</v>
      </c>
      <c r="O272" s="65">
        <v>756</v>
      </c>
      <c r="P272" s="65">
        <v>756</v>
      </c>
    </row>
    <row r="273" spans="1:16" x14ac:dyDescent="0.3">
      <c r="A273" s="2" t="s">
        <v>227</v>
      </c>
      <c r="B273" s="1">
        <v>850</v>
      </c>
      <c r="C273" s="3">
        <v>850</v>
      </c>
      <c r="D273" s="3">
        <v>850</v>
      </c>
      <c r="E273" s="4">
        <v>850</v>
      </c>
      <c r="F273" s="1">
        <v>850</v>
      </c>
      <c r="G273" s="40">
        <v>850</v>
      </c>
      <c r="H273" s="18">
        <v>535</v>
      </c>
      <c r="I273" s="17">
        <v>535</v>
      </c>
      <c r="J273" s="18">
        <v>535</v>
      </c>
      <c r="K273" s="18">
        <v>535</v>
      </c>
      <c r="L273" s="58">
        <v>535</v>
      </c>
      <c r="M273" s="18">
        <v>610</v>
      </c>
      <c r="N273" s="58">
        <v>610</v>
      </c>
      <c r="O273" s="65">
        <v>610</v>
      </c>
      <c r="P273" s="60">
        <v>585</v>
      </c>
    </row>
    <row r="274" spans="1:16" x14ac:dyDescent="0.3">
      <c r="A274" s="2" t="s">
        <v>228</v>
      </c>
      <c r="B274" s="1">
        <v>1176</v>
      </c>
      <c r="C274" s="3">
        <v>1176</v>
      </c>
      <c r="D274" s="3">
        <v>1176</v>
      </c>
      <c r="E274" s="4">
        <v>1176</v>
      </c>
      <c r="F274" s="1">
        <v>1176</v>
      </c>
      <c r="G274" s="40">
        <v>1176</v>
      </c>
      <c r="H274" s="18">
        <v>741</v>
      </c>
      <c r="I274" s="17" t="s">
        <v>143</v>
      </c>
      <c r="J274" s="18" t="s">
        <v>143</v>
      </c>
      <c r="K274" s="18" t="s">
        <v>143</v>
      </c>
      <c r="L274" s="18" t="s">
        <v>143</v>
      </c>
      <c r="M274" s="18" t="s">
        <v>143</v>
      </c>
      <c r="N274" s="18" t="s">
        <v>143</v>
      </c>
      <c r="O274" s="65" t="s">
        <v>143</v>
      </c>
      <c r="P274" s="65"/>
    </row>
    <row r="275" spans="1:16" x14ac:dyDescent="0.3">
      <c r="A275" s="66" t="s">
        <v>229</v>
      </c>
      <c r="B275" s="50"/>
      <c r="C275" s="50"/>
      <c r="D275" s="50"/>
      <c r="E275" s="51"/>
      <c r="F275" s="52"/>
      <c r="G275" s="53"/>
      <c r="H275" s="54"/>
      <c r="I275" s="55"/>
      <c r="J275" s="21"/>
      <c r="K275" s="21"/>
      <c r="L275" s="21"/>
      <c r="M275" s="21"/>
      <c r="N275" s="21"/>
      <c r="O275" s="58">
        <v>895</v>
      </c>
      <c r="P275" s="65">
        <v>895</v>
      </c>
    </row>
    <row r="276" spans="1:16" x14ac:dyDescent="0.3">
      <c r="A276" s="2" t="s">
        <v>230</v>
      </c>
      <c r="B276" s="1">
        <v>1550</v>
      </c>
      <c r="C276" s="3">
        <v>1550</v>
      </c>
      <c r="D276" s="3">
        <v>1550</v>
      </c>
      <c r="E276" s="4">
        <v>1550</v>
      </c>
      <c r="F276" s="1">
        <v>1550</v>
      </c>
      <c r="G276" s="40">
        <v>1550</v>
      </c>
      <c r="H276" s="18">
        <v>975</v>
      </c>
      <c r="I276" s="17">
        <v>975</v>
      </c>
      <c r="J276" s="18">
        <v>975</v>
      </c>
      <c r="K276" s="18">
        <v>975</v>
      </c>
      <c r="L276" s="58">
        <v>975</v>
      </c>
      <c r="M276" s="58">
        <v>975</v>
      </c>
      <c r="N276" s="58">
        <v>975</v>
      </c>
      <c r="O276" s="65">
        <v>975</v>
      </c>
      <c r="P276" s="65">
        <v>975</v>
      </c>
    </row>
    <row r="277" spans="1:16" x14ac:dyDescent="0.3">
      <c r="A277" s="76" t="s">
        <v>350</v>
      </c>
      <c r="B277" s="13" t="s">
        <v>154</v>
      </c>
      <c r="C277" s="13" t="s">
        <v>154</v>
      </c>
      <c r="D277" s="13" t="s">
        <v>154</v>
      </c>
      <c r="E277" s="13" t="s">
        <v>154</v>
      </c>
      <c r="F277" s="13" t="s">
        <v>154</v>
      </c>
      <c r="G277" s="42" t="s">
        <v>154</v>
      </c>
      <c r="H277" s="17" t="s">
        <v>154</v>
      </c>
      <c r="I277" s="17" t="s">
        <v>231</v>
      </c>
      <c r="J277" s="18" t="s">
        <v>231</v>
      </c>
      <c r="K277" s="18" t="s">
        <v>231</v>
      </c>
      <c r="L277" s="58">
        <v>741</v>
      </c>
      <c r="M277" s="58">
        <v>741</v>
      </c>
      <c r="N277" s="58">
        <v>741</v>
      </c>
      <c r="O277" s="65">
        <v>741</v>
      </c>
      <c r="P277" s="65">
        <v>741</v>
      </c>
    </row>
    <row r="278" spans="1:16" x14ac:dyDescent="0.3">
      <c r="A278" s="76" t="s">
        <v>350</v>
      </c>
      <c r="B278" s="68"/>
      <c r="C278" s="68"/>
      <c r="D278" s="68"/>
      <c r="E278" s="77"/>
      <c r="F278" s="78"/>
      <c r="G278" s="71"/>
      <c r="H278" s="72"/>
      <c r="I278" s="73"/>
      <c r="J278" s="74"/>
      <c r="K278" s="74"/>
      <c r="L278" s="75"/>
      <c r="M278" s="75"/>
      <c r="N278" s="75"/>
      <c r="O278" s="75"/>
      <c r="P278" s="75">
        <v>895</v>
      </c>
    </row>
    <row r="279" spans="1:16" x14ac:dyDescent="0.3">
      <c r="A279" s="76" t="s">
        <v>350</v>
      </c>
      <c r="B279" s="68"/>
      <c r="C279" s="68"/>
      <c r="D279" s="68"/>
      <c r="E279" s="77"/>
      <c r="F279" s="78"/>
      <c r="G279" s="71"/>
      <c r="H279" s="72"/>
      <c r="I279" s="73"/>
      <c r="J279" s="74"/>
      <c r="K279" s="74"/>
      <c r="L279" s="75"/>
      <c r="M279" s="75"/>
      <c r="N279" s="75"/>
      <c r="O279" s="75"/>
      <c r="P279" s="75">
        <v>940</v>
      </c>
    </row>
    <row r="280" spans="1:16" x14ac:dyDescent="0.3">
      <c r="A280" s="76" t="s">
        <v>350</v>
      </c>
      <c r="B280" s="68"/>
      <c r="C280" s="68"/>
      <c r="D280" s="68"/>
      <c r="E280" s="77"/>
      <c r="F280" s="78"/>
      <c r="G280" s="71"/>
      <c r="H280" s="72"/>
      <c r="I280" s="73"/>
      <c r="J280" s="74"/>
      <c r="K280" s="74"/>
      <c r="L280" s="75"/>
      <c r="M280" s="75"/>
      <c r="N280" s="75"/>
      <c r="O280" s="75"/>
      <c r="P280" s="75">
        <v>987</v>
      </c>
    </row>
    <row r="281" spans="1:16" x14ac:dyDescent="0.3">
      <c r="A281" s="76" t="s">
        <v>350</v>
      </c>
      <c r="B281" s="68"/>
      <c r="C281" s="68"/>
      <c r="D281" s="68"/>
      <c r="E281" s="77"/>
      <c r="F281" s="78"/>
      <c r="G281" s="71"/>
      <c r="H281" s="72"/>
      <c r="I281" s="73"/>
      <c r="J281" s="74"/>
      <c r="K281" s="74"/>
      <c r="L281" s="75"/>
      <c r="M281" s="75"/>
      <c r="N281" s="75"/>
      <c r="O281" s="75"/>
      <c r="P281" s="75">
        <v>1037</v>
      </c>
    </row>
    <row r="282" spans="1:16" x14ac:dyDescent="0.3">
      <c r="A282" s="2" t="s">
        <v>232</v>
      </c>
      <c r="B282" s="1">
        <v>1100</v>
      </c>
      <c r="C282" s="3">
        <v>1100</v>
      </c>
      <c r="D282" s="3">
        <v>1350</v>
      </c>
      <c r="E282" s="4">
        <v>1350</v>
      </c>
      <c r="F282" s="1">
        <v>1350</v>
      </c>
      <c r="G282" s="40">
        <v>1350</v>
      </c>
      <c r="H282" s="18">
        <v>850</v>
      </c>
      <c r="I282" s="17">
        <v>850</v>
      </c>
      <c r="J282" s="18">
        <v>850</v>
      </c>
      <c r="K282" s="18">
        <v>850</v>
      </c>
      <c r="L282" s="58">
        <v>850</v>
      </c>
      <c r="M282" s="58">
        <v>850</v>
      </c>
      <c r="N282" s="58">
        <v>850</v>
      </c>
      <c r="O282" s="65">
        <v>850</v>
      </c>
      <c r="P282" s="65">
        <v>850</v>
      </c>
    </row>
    <row r="283" spans="1:16" x14ac:dyDescent="0.3">
      <c r="A283" s="2" t="s">
        <v>233</v>
      </c>
      <c r="B283" s="1">
        <v>1625</v>
      </c>
      <c r="C283" s="3">
        <v>1625</v>
      </c>
      <c r="D283" s="3">
        <v>1625</v>
      </c>
      <c r="E283" s="4">
        <v>1625</v>
      </c>
      <c r="F283" s="1">
        <v>1625</v>
      </c>
      <c r="G283" s="40">
        <v>1625</v>
      </c>
      <c r="H283" s="18">
        <v>1022</v>
      </c>
      <c r="I283" s="20">
        <v>1023.3</v>
      </c>
      <c r="J283" s="18">
        <v>1023.3</v>
      </c>
      <c r="K283" s="18">
        <v>1023.3</v>
      </c>
      <c r="L283" s="58">
        <v>1023.3</v>
      </c>
      <c r="M283" s="58">
        <v>1023.3</v>
      </c>
      <c r="N283" s="58">
        <v>1023.3</v>
      </c>
      <c r="O283" s="65">
        <v>1023.3</v>
      </c>
      <c r="P283" s="65">
        <v>1085.5999999999999</v>
      </c>
    </row>
    <row r="284" spans="1:16" x14ac:dyDescent="0.3">
      <c r="A284" s="2" t="s">
        <v>234</v>
      </c>
      <c r="B284" s="1">
        <v>1975</v>
      </c>
      <c r="C284" s="3">
        <v>1975</v>
      </c>
      <c r="D284" s="3">
        <v>1975</v>
      </c>
      <c r="E284" s="4">
        <v>1975</v>
      </c>
      <c r="F284" s="1">
        <v>1975</v>
      </c>
      <c r="G284" s="40">
        <v>1950</v>
      </c>
      <c r="H284" s="18">
        <v>1215</v>
      </c>
      <c r="I284" s="20">
        <v>1215</v>
      </c>
      <c r="J284" s="18">
        <v>1215</v>
      </c>
      <c r="K284" s="18">
        <v>1215</v>
      </c>
      <c r="L284" s="58">
        <v>1215</v>
      </c>
      <c r="M284" s="58">
        <v>1215</v>
      </c>
      <c r="N284" s="58">
        <v>1215</v>
      </c>
      <c r="O284" s="65">
        <v>1215</v>
      </c>
      <c r="P284" s="65">
        <v>1215</v>
      </c>
    </row>
    <row r="285" spans="1:16" x14ac:dyDescent="0.3">
      <c r="A285" s="76" t="s">
        <v>351</v>
      </c>
      <c r="B285" s="1">
        <v>1150</v>
      </c>
      <c r="C285" s="3">
        <v>1150</v>
      </c>
      <c r="D285" s="3">
        <v>1450</v>
      </c>
      <c r="E285" s="4">
        <v>1450</v>
      </c>
      <c r="F285" s="1">
        <v>1400</v>
      </c>
      <c r="G285" s="40">
        <v>1350</v>
      </c>
      <c r="H285" s="18">
        <v>840</v>
      </c>
      <c r="I285" s="17">
        <v>840</v>
      </c>
      <c r="J285" s="18">
        <v>840</v>
      </c>
      <c r="K285" s="18">
        <v>840</v>
      </c>
      <c r="L285" s="58">
        <v>840</v>
      </c>
      <c r="M285" s="58">
        <v>840</v>
      </c>
      <c r="N285" s="58">
        <v>840</v>
      </c>
      <c r="O285" s="65">
        <v>840</v>
      </c>
      <c r="P285" s="79">
        <v>814.8</v>
      </c>
    </row>
    <row r="286" spans="1:16" x14ac:dyDescent="0.3">
      <c r="A286" s="76" t="s">
        <v>351</v>
      </c>
      <c r="B286" s="68"/>
      <c r="C286" s="68"/>
      <c r="D286" s="68"/>
      <c r="E286" s="69"/>
      <c r="F286" s="70"/>
      <c r="G286" s="71"/>
      <c r="H286" s="72"/>
      <c r="I286" s="73"/>
      <c r="J286" s="74"/>
      <c r="K286" s="74"/>
      <c r="L286" s="75"/>
      <c r="M286" s="75"/>
      <c r="N286" s="75"/>
      <c r="O286" s="75"/>
      <c r="P286" s="75">
        <v>823.2</v>
      </c>
    </row>
    <row r="287" spans="1:16" x14ac:dyDescent="0.3">
      <c r="A287" s="76" t="s">
        <v>351</v>
      </c>
      <c r="B287" s="68"/>
      <c r="C287" s="68"/>
      <c r="D287" s="68"/>
      <c r="E287" s="69"/>
      <c r="F287" s="70"/>
      <c r="G287" s="71"/>
      <c r="H287" s="72"/>
      <c r="I287" s="73"/>
      <c r="J287" s="74"/>
      <c r="K287" s="74"/>
      <c r="L287" s="75"/>
      <c r="M287" s="75"/>
      <c r="N287" s="75"/>
      <c r="O287" s="75"/>
      <c r="P287" s="75">
        <v>831.6</v>
      </c>
    </row>
    <row r="288" spans="1:16" x14ac:dyDescent="0.3">
      <c r="A288" s="76" t="s">
        <v>351</v>
      </c>
      <c r="B288" s="68"/>
      <c r="C288" s="68"/>
      <c r="D288" s="68"/>
      <c r="E288" s="69"/>
      <c r="F288" s="70"/>
      <c r="G288" s="71"/>
      <c r="H288" s="72"/>
      <c r="I288" s="73"/>
      <c r="J288" s="74"/>
      <c r="K288" s="74"/>
      <c r="L288" s="75"/>
      <c r="M288" s="75"/>
      <c r="N288" s="75"/>
      <c r="O288" s="75"/>
      <c r="P288" s="75">
        <v>877.8</v>
      </c>
    </row>
    <row r="289" spans="1:16" x14ac:dyDescent="0.3">
      <c r="A289" s="76" t="s">
        <v>351</v>
      </c>
      <c r="B289" s="68"/>
      <c r="C289" s="68"/>
      <c r="D289" s="68"/>
      <c r="E289" s="69"/>
      <c r="F289" s="70"/>
      <c r="G289" s="71"/>
      <c r="H289" s="72"/>
      <c r="I289" s="73"/>
      <c r="J289" s="74"/>
      <c r="K289" s="74"/>
      <c r="L289" s="75"/>
      <c r="M289" s="75"/>
      <c r="N289" s="75"/>
      <c r="O289" s="75"/>
      <c r="P289" s="75">
        <v>898.8</v>
      </c>
    </row>
    <row r="290" spans="1:16" x14ac:dyDescent="0.3">
      <c r="A290" s="76" t="s">
        <v>351</v>
      </c>
      <c r="B290" s="68"/>
      <c r="C290" s="68"/>
      <c r="D290" s="68"/>
      <c r="E290" s="69"/>
      <c r="F290" s="70"/>
      <c r="G290" s="71"/>
      <c r="H290" s="72"/>
      <c r="I290" s="73"/>
      <c r="J290" s="74"/>
      <c r="K290" s="74"/>
      <c r="L290" s="75"/>
      <c r="M290" s="75"/>
      <c r="N290" s="75"/>
      <c r="O290" s="75"/>
      <c r="P290" s="75">
        <v>932.4</v>
      </c>
    </row>
    <row r="291" spans="1:16" x14ac:dyDescent="0.3">
      <c r="A291" s="76" t="s">
        <v>351</v>
      </c>
      <c r="B291" s="68"/>
      <c r="C291" s="68"/>
      <c r="D291" s="68"/>
      <c r="E291" s="69"/>
      <c r="F291" s="70"/>
      <c r="G291" s="71"/>
      <c r="H291" s="72"/>
      <c r="I291" s="73"/>
      <c r="J291" s="74"/>
      <c r="K291" s="74"/>
      <c r="L291" s="75"/>
      <c r="M291" s="75"/>
      <c r="N291" s="75"/>
      <c r="O291" s="75"/>
      <c r="P291" s="75">
        <v>957.6</v>
      </c>
    </row>
    <row r="292" spans="1:16" x14ac:dyDescent="0.3">
      <c r="A292" s="76" t="s">
        <v>351</v>
      </c>
      <c r="B292" s="68"/>
      <c r="C292" s="68"/>
      <c r="D292" s="68"/>
      <c r="E292" s="69"/>
      <c r="F292" s="70"/>
      <c r="G292" s="71"/>
      <c r="H292" s="72"/>
      <c r="I292" s="73"/>
      <c r="J292" s="74"/>
      <c r="K292" s="74"/>
      <c r="L292" s="75"/>
      <c r="M292" s="75"/>
      <c r="N292" s="75"/>
      <c r="O292" s="75"/>
      <c r="P292" s="75">
        <v>1014.6</v>
      </c>
    </row>
    <row r="293" spans="1:16" x14ac:dyDescent="0.3">
      <c r="A293" s="2" t="s">
        <v>235</v>
      </c>
      <c r="B293" s="12">
        <v>1395</v>
      </c>
      <c r="C293" s="16">
        <v>1495</v>
      </c>
      <c r="D293" s="16">
        <v>1495</v>
      </c>
      <c r="E293" s="11">
        <v>1495</v>
      </c>
      <c r="F293" s="12">
        <v>1495</v>
      </c>
      <c r="G293" s="42">
        <v>1495</v>
      </c>
      <c r="H293" s="18">
        <v>941</v>
      </c>
      <c r="I293" s="17" t="s">
        <v>143</v>
      </c>
      <c r="J293" s="18" t="s">
        <v>143</v>
      </c>
      <c r="K293" s="18" t="s">
        <v>143</v>
      </c>
      <c r="L293" s="18" t="s">
        <v>143</v>
      </c>
      <c r="M293" s="18" t="s">
        <v>143</v>
      </c>
      <c r="N293" s="18" t="s">
        <v>143</v>
      </c>
      <c r="O293" s="65" t="s">
        <v>143</v>
      </c>
      <c r="P293" s="65"/>
    </row>
    <row r="294" spans="1:16" x14ac:dyDescent="0.3">
      <c r="A294" s="56" t="s">
        <v>352</v>
      </c>
      <c r="B294" s="10" t="s">
        <v>154</v>
      </c>
      <c r="C294" s="10" t="s">
        <v>154</v>
      </c>
      <c r="D294" s="10" t="s">
        <v>154</v>
      </c>
      <c r="E294" s="11" t="s">
        <v>154</v>
      </c>
      <c r="F294" s="12" t="s">
        <v>154</v>
      </c>
      <c r="G294" s="42" t="s">
        <v>154</v>
      </c>
      <c r="H294" s="17" t="s">
        <v>154</v>
      </c>
      <c r="I294" s="17" t="s">
        <v>236</v>
      </c>
      <c r="J294" s="18" t="s">
        <v>237</v>
      </c>
      <c r="K294" s="18" t="s">
        <v>237</v>
      </c>
      <c r="L294" s="21">
        <v>998</v>
      </c>
      <c r="M294" s="21">
        <v>998</v>
      </c>
      <c r="N294" s="58">
        <v>998</v>
      </c>
      <c r="O294" s="65">
        <v>990</v>
      </c>
      <c r="P294" s="65">
        <v>990</v>
      </c>
    </row>
    <row r="295" spans="1:16" x14ac:dyDescent="0.3">
      <c r="A295" s="56" t="s">
        <v>352</v>
      </c>
      <c r="B295" s="50"/>
      <c r="C295" s="50"/>
      <c r="D295" s="50"/>
      <c r="E295" s="51"/>
      <c r="F295" s="52"/>
      <c r="G295" s="53"/>
      <c r="H295" s="54"/>
      <c r="I295" s="55"/>
      <c r="J295" s="21"/>
      <c r="K295" s="21"/>
      <c r="L295" s="21"/>
      <c r="M295" s="21"/>
      <c r="N295" s="58"/>
      <c r="O295" s="58">
        <v>1075</v>
      </c>
      <c r="P295" s="65">
        <v>1075</v>
      </c>
    </row>
    <row r="296" spans="1:16" x14ac:dyDescent="0.3">
      <c r="A296" s="56" t="s">
        <v>352</v>
      </c>
      <c r="B296" s="50"/>
      <c r="C296" s="50"/>
      <c r="D296" s="50"/>
      <c r="E296" s="51"/>
      <c r="F296" s="52"/>
      <c r="G296" s="53"/>
      <c r="H296" s="54"/>
      <c r="I296" s="55"/>
      <c r="J296" s="21"/>
      <c r="K296" s="21"/>
      <c r="L296" s="21"/>
      <c r="M296" s="21"/>
      <c r="N296" s="58"/>
      <c r="O296" s="58">
        <v>1150</v>
      </c>
      <c r="P296" s="65">
        <v>1150</v>
      </c>
    </row>
    <row r="297" spans="1:16" x14ac:dyDescent="0.3">
      <c r="A297" s="56" t="s">
        <v>352</v>
      </c>
      <c r="B297" s="50"/>
      <c r="C297" s="50"/>
      <c r="D297" s="50"/>
      <c r="E297" s="51"/>
      <c r="F297" s="52"/>
      <c r="G297" s="53"/>
      <c r="H297" s="54"/>
      <c r="I297" s="55"/>
      <c r="J297" s="21"/>
      <c r="K297" s="21"/>
      <c r="L297" s="21"/>
      <c r="M297" s="21"/>
      <c r="N297" s="58"/>
      <c r="O297" s="58">
        <v>1225</v>
      </c>
      <c r="P297" s="65">
        <v>1225</v>
      </c>
    </row>
    <row r="298" spans="1:16" x14ac:dyDescent="0.3">
      <c r="A298" s="76" t="s">
        <v>353</v>
      </c>
      <c r="B298" s="1">
        <v>1120</v>
      </c>
      <c r="C298" s="3">
        <v>1120</v>
      </c>
      <c r="D298" s="3">
        <v>1120</v>
      </c>
      <c r="E298" s="4">
        <v>1120</v>
      </c>
      <c r="F298" s="1">
        <v>1120</v>
      </c>
      <c r="G298" s="40">
        <v>1120</v>
      </c>
      <c r="H298" s="18">
        <v>705</v>
      </c>
      <c r="I298" s="17">
        <v>705</v>
      </c>
      <c r="J298" s="18">
        <v>705</v>
      </c>
      <c r="K298" s="18">
        <v>705</v>
      </c>
      <c r="L298" s="58">
        <v>705</v>
      </c>
      <c r="M298" s="58">
        <v>705</v>
      </c>
      <c r="N298" s="58">
        <v>705</v>
      </c>
      <c r="O298" s="65">
        <v>705</v>
      </c>
      <c r="P298" s="65">
        <v>750</v>
      </c>
    </row>
    <row r="299" spans="1:16" x14ac:dyDescent="0.3">
      <c r="A299" s="76" t="s">
        <v>353</v>
      </c>
      <c r="B299" s="68"/>
      <c r="C299" s="68"/>
      <c r="D299" s="68"/>
      <c r="E299" s="69"/>
      <c r="F299" s="70"/>
      <c r="G299" s="71"/>
      <c r="H299" s="72"/>
      <c r="I299" s="73"/>
      <c r="J299" s="74"/>
      <c r="K299" s="74"/>
      <c r="L299" s="75"/>
      <c r="M299" s="75"/>
      <c r="N299" s="75"/>
      <c r="O299" s="75"/>
      <c r="P299" s="75">
        <v>825</v>
      </c>
    </row>
    <row r="300" spans="1:16" x14ac:dyDescent="0.3">
      <c r="A300" s="76" t="s">
        <v>353</v>
      </c>
      <c r="B300" s="68"/>
      <c r="C300" s="68"/>
      <c r="D300" s="68"/>
      <c r="E300" s="69"/>
      <c r="F300" s="70"/>
      <c r="G300" s="71"/>
      <c r="H300" s="72"/>
      <c r="I300" s="73"/>
      <c r="J300" s="74"/>
      <c r="K300" s="74"/>
      <c r="L300" s="75"/>
      <c r="M300" s="75"/>
      <c r="N300" s="75"/>
      <c r="O300" s="75"/>
      <c r="P300" s="75">
        <v>900</v>
      </c>
    </row>
    <row r="301" spans="1:16" x14ac:dyDescent="0.3">
      <c r="A301" s="2" t="s">
        <v>238</v>
      </c>
      <c r="B301" s="1">
        <v>1250</v>
      </c>
      <c r="C301" s="3">
        <v>1250</v>
      </c>
      <c r="D301" s="3">
        <v>1250</v>
      </c>
      <c r="E301" s="4">
        <v>1250</v>
      </c>
      <c r="F301" s="1">
        <v>1250</v>
      </c>
      <c r="G301" s="40">
        <v>1250</v>
      </c>
      <c r="H301" s="18">
        <v>787.15</v>
      </c>
      <c r="I301" s="20">
        <v>787.15</v>
      </c>
      <c r="J301" s="18">
        <v>787.15</v>
      </c>
      <c r="K301" s="18">
        <v>787.15</v>
      </c>
      <c r="L301" s="58">
        <v>787.15</v>
      </c>
      <c r="M301" s="58">
        <v>787.15</v>
      </c>
      <c r="N301" s="58">
        <v>787.15</v>
      </c>
      <c r="O301" s="65">
        <v>787.15</v>
      </c>
      <c r="P301" s="65">
        <v>787.15</v>
      </c>
    </row>
    <row r="302" spans="1:16" x14ac:dyDescent="0.3">
      <c r="A302" s="2" t="s">
        <v>239</v>
      </c>
      <c r="B302" s="1">
        <v>1275</v>
      </c>
      <c r="C302" s="3">
        <v>1275</v>
      </c>
      <c r="D302" s="3">
        <v>1275</v>
      </c>
      <c r="E302" s="4">
        <v>1275</v>
      </c>
      <c r="F302" s="1">
        <v>1275</v>
      </c>
      <c r="G302" s="40">
        <v>1275</v>
      </c>
      <c r="H302" s="18">
        <v>803</v>
      </c>
      <c r="I302" s="20">
        <v>803</v>
      </c>
      <c r="J302" s="18">
        <v>857</v>
      </c>
      <c r="K302" s="18">
        <v>857</v>
      </c>
      <c r="L302" s="58">
        <v>857</v>
      </c>
      <c r="M302" s="58">
        <v>857</v>
      </c>
      <c r="N302" s="58">
        <v>857</v>
      </c>
      <c r="O302" s="65">
        <v>857</v>
      </c>
      <c r="P302" s="65">
        <v>887</v>
      </c>
    </row>
    <row r="303" spans="1:16" x14ac:dyDescent="0.3">
      <c r="A303" s="2" t="s">
        <v>240</v>
      </c>
      <c r="B303" s="1">
        <v>1400</v>
      </c>
      <c r="C303" s="3">
        <v>1400</v>
      </c>
      <c r="D303" s="3">
        <v>1400</v>
      </c>
      <c r="E303" s="4">
        <v>1400</v>
      </c>
      <c r="F303" s="1">
        <v>1400</v>
      </c>
      <c r="G303" s="40">
        <v>1400</v>
      </c>
      <c r="H303" s="18">
        <v>882</v>
      </c>
      <c r="I303" s="20">
        <v>882</v>
      </c>
      <c r="J303" s="18">
        <v>882</v>
      </c>
      <c r="K303" s="18">
        <v>882</v>
      </c>
      <c r="L303" s="58">
        <v>882</v>
      </c>
      <c r="M303" s="58">
        <v>882</v>
      </c>
      <c r="N303" s="58">
        <v>882</v>
      </c>
      <c r="O303" s="65">
        <v>882</v>
      </c>
      <c r="P303" s="65">
        <v>882</v>
      </c>
    </row>
    <row r="304" spans="1:16" x14ac:dyDescent="0.3">
      <c r="A304" s="2" t="s">
        <v>241</v>
      </c>
      <c r="B304" s="1">
        <v>1330</v>
      </c>
      <c r="C304" s="3">
        <v>1330</v>
      </c>
      <c r="D304" s="3">
        <v>1330</v>
      </c>
      <c r="E304" s="4">
        <v>1330</v>
      </c>
      <c r="F304" s="1">
        <v>1330</v>
      </c>
      <c r="G304" s="40">
        <v>1330</v>
      </c>
      <c r="H304" s="18">
        <v>837.53</v>
      </c>
      <c r="I304" s="20">
        <v>837.53</v>
      </c>
      <c r="J304" s="18">
        <v>837.53</v>
      </c>
      <c r="K304" s="18">
        <v>837.53</v>
      </c>
      <c r="L304" s="58">
        <v>837.53</v>
      </c>
      <c r="M304" s="58">
        <v>837.53</v>
      </c>
      <c r="N304" s="58">
        <v>837.53</v>
      </c>
      <c r="O304" s="65">
        <v>837.53</v>
      </c>
      <c r="P304" s="65">
        <v>837.53</v>
      </c>
    </row>
    <row r="305" spans="1:16" x14ac:dyDescent="0.3">
      <c r="A305" s="2" t="s">
        <v>242</v>
      </c>
      <c r="B305" s="1">
        <v>1810</v>
      </c>
      <c r="C305" s="3">
        <v>1810</v>
      </c>
      <c r="D305" s="3">
        <v>1810</v>
      </c>
      <c r="E305" s="4">
        <v>1810</v>
      </c>
      <c r="F305" s="1">
        <v>1810</v>
      </c>
      <c r="G305" s="40">
        <v>1810</v>
      </c>
      <c r="H305" s="18">
        <v>1140</v>
      </c>
      <c r="I305" s="20">
        <v>1140</v>
      </c>
      <c r="J305" s="18">
        <v>1140</v>
      </c>
      <c r="K305" s="18">
        <v>1140</v>
      </c>
      <c r="L305" s="58">
        <v>1140</v>
      </c>
      <c r="M305" s="58">
        <v>1140</v>
      </c>
      <c r="N305" s="58">
        <v>1140</v>
      </c>
      <c r="O305" s="65">
        <v>1140</v>
      </c>
      <c r="P305" s="65">
        <v>1140</v>
      </c>
    </row>
    <row r="306" spans="1:16" x14ac:dyDescent="0.3">
      <c r="A306" s="2" t="s">
        <v>243</v>
      </c>
      <c r="B306" s="1">
        <v>1500</v>
      </c>
      <c r="C306" s="3">
        <v>1500</v>
      </c>
      <c r="D306" s="3">
        <v>1500</v>
      </c>
      <c r="E306" s="4">
        <v>1500</v>
      </c>
      <c r="F306" s="1">
        <v>1500</v>
      </c>
      <c r="G306" s="40">
        <v>1500</v>
      </c>
      <c r="H306" s="18">
        <v>944</v>
      </c>
      <c r="I306" s="20">
        <v>944</v>
      </c>
      <c r="J306" s="18">
        <v>944</v>
      </c>
      <c r="K306" s="18">
        <v>944</v>
      </c>
      <c r="L306" s="58">
        <v>944</v>
      </c>
      <c r="M306" s="58">
        <v>944</v>
      </c>
      <c r="N306" s="58">
        <v>944</v>
      </c>
      <c r="O306" s="65">
        <v>944</v>
      </c>
      <c r="P306" s="65">
        <v>1095</v>
      </c>
    </row>
    <row r="307" spans="1:16" x14ac:dyDescent="0.3">
      <c r="A307" s="2" t="s">
        <v>244</v>
      </c>
      <c r="B307" s="1">
        <v>1050</v>
      </c>
      <c r="C307" s="3">
        <v>1050</v>
      </c>
      <c r="D307" s="3">
        <v>1050</v>
      </c>
      <c r="E307" s="4">
        <v>1050</v>
      </c>
      <c r="F307" s="1">
        <v>1050</v>
      </c>
      <c r="G307" s="40">
        <v>1050</v>
      </c>
      <c r="H307" s="18">
        <v>661.21</v>
      </c>
      <c r="I307" s="20">
        <v>661.21</v>
      </c>
      <c r="J307" s="18">
        <v>661.21</v>
      </c>
      <c r="K307" s="18">
        <v>661.21</v>
      </c>
      <c r="L307" s="58">
        <v>661.21</v>
      </c>
      <c r="M307" s="58">
        <v>661.21</v>
      </c>
      <c r="N307" s="58">
        <v>661.21</v>
      </c>
      <c r="O307" s="65">
        <v>661.21</v>
      </c>
      <c r="P307" s="65">
        <v>661.21</v>
      </c>
    </row>
    <row r="308" spans="1:16" x14ac:dyDescent="0.3">
      <c r="A308" s="2" t="s">
        <v>245</v>
      </c>
      <c r="B308" s="1">
        <v>1200</v>
      </c>
      <c r="C308" s="3">
        <v>1450</v>
      </c>
      <c r="D308" s="3">
        <v>1450</v>
      </c>
      <c r="E308" s="4">
        <v>1450</v>
      </c>
      <c r="F308" s="1">
        <v>1450</v>
      </c>
      <c r="G308" s="40">
        <v>1450</v>
      </c>
      <c r="H308" s="18">
        <v>913.1</v>
      </c>
      <c r="I308" s="20">
        <v>913.1</v>
      </c>
      <c r="J308" s="18">
        <v>913.1</v>
      </c>
      <c r="K308" s="18">
        <v>913.1</v>
      </c>
      <c r="L308" s="58">
        <v>913.1</v>
      </c>
      <c r="M308" s="58">
        <v>913.1</v>
      </c>
      <c r="N308" s="58">
        <v>913.1</v>
      </c>
      <c r="O308" s="65">
        <v>913.1</v>
      </c>
      <c r="P308" s="65">
        <v>913.1</v>
      </c>
    </row>
    <row r="309" spans="1:16" x14ac:dyDescent="0.3">
      <c r="A309" s="2" t="s">
        <v>246</v>
      </c>
      <c r="B309" s="1">
        <v>1500</v>
      </c>
      <c r="C309" s="3">
        <v>1500</v>
      </c>
      <c r="D309" s="3">
        <v>1500</v>
      </c>
      <c r="E309" s="4">
        <v>1500</v>
      </c>
      <c r="F309" s="1">
        <v>1500</v>
      </c>
      <c r="G309" s="40">
        <v>1500</v>
      </c>
      <c r="H309" s="18">
        <v>945</v>
      </c>
      <c r="I309" s="20">
        <v>945</v>
      </c>
      <c r="J309" s="18">
        <v>945</v>
      </c>
      <c r="K309" s="18">
        <v>945</v>
      </c>
      <c r="L309" s="58">
        <v>945</v>
      </c>
      <c r="M309" s="58">
        <v>945</v>
      </c>
      <c r="N309" s="58">
        <v>945</v>
      </c>
      <c r="O309" s="65" t="s">
        <v>42</v>
      </c>
      <c r="P309" s="65"/>
    </row>
    <row r="310" spans="1:16" x14ac:dyDescent="0.3">
      <c r="A310" s="2" t="s">
        <v>247</v>
      </c>
      <c r="B310" s="1">
        <v>1250</v>
      </c>
      <c r="C310" s="3">
        <v>1250</v>
      </c>
      <c r="D310" s="3">
        <v>1250</v>
      </c>
      <c r="E310" s="4">
        <v>1250</v>
      </c>
      <c r="F310" s="1">
        <v>1250</v>
      </c>
      <c r="G310" s="40">
        <v>1250</v>
      </c>
      <c r="H310" s="18">
        <v>787</v>
      </c>
      <c r="I310" s="20">
        <v>787</v>
      </c>
      <c r="J310" s="21">
        <v>787</v>
      </c>
      <c r="K310" s="21">
        <v>787</v>
      </c>
      <c r="L310" s="58">
        <v>787</v>
      </c>
      <c r="M310" s="58">
        <v>787</v>
      </c>
      <c r="N310" s="58">
        <v>787</v>
      </c>
      <c r="O310" s="65">
        <v>787</v>
      </c>
      <c r="P310" s="65">
        <v>787</v>
      </c>
    </row>
    <row r="311" spans="1:16" x14ac:dyDescent="0.3">
      <c r="A311" s="2" t="s">
        <v>248</v>
      </c>
      <c r="B311" s="1">
        <v>1350</v>
      </c>
      <c r="C311" s="3">
        <v>1350</v>
      </c>
      <c r="D311" s="3">
        <v>1350</v>
      </c>
      <c r="E311" s="4">
        <v>1350</v>
      </c>
      <c r="F311" s="1">
        <v>1350</v>
      </c>
      <c r="G311" s="40">
        <v>1350</v>
      </c>
      <c r="H311" s="18">
        <v>849</v>
      </c>
      <c r="I311" s="20">
        <v>875</v>
      </c>
      <c r="J311" s="21">
        <v>875</v>
      </c>
      <c r="K311" s="21">
        <v>897</v>
      </c>
      <c r="L311" s="58">
        <v>897</v>
      </c>
      <c r="M311" s="58">
        <v>897</v>
      </c>
      <c r="N311" s="58">
        <v>897</v>
      </c>
      <c r="O311" s="65">
        <v>897</v>
      </c>
      <c r="P311" s="65">
        <v>970</v>
      </c>
    </row>
    <row r="312" spans="1:16" x14ac:dyDescent="0.3">
      <c r="A312" s="2" t="s">
        <v>249</v>
      </c>
      <c r="B312" s="1">
        <v>1450</v>
      </c>
      <c r="C312" s="3">
        <v>1450</v>
      </c>
      <c r="D312" s="3">
        <v>1600</v>
      </c>
      <c r="E312" s="4">
        <v>1600</v>
      </c>
      <c r="F312" s="1">
        <v>1600</v>
      </c>
      <c r="G312" s="40">
        <v>1600</v>
      </c>
      <c r="H312" s="18">
        <v>1008</v>
      </c>
      <c r="I312" s="20">
        <v>1008</v>
      </c>
      <c r="J312" s="21">
        <v>1008</v>
      </c>
      <c r="K312" s="21">
        <v>1008</v>
      </c>
      <c r="L312" s="60">
        <v>988</v>
      </c>
      <c r="M312" s="60">
        <v>988</v>
      </c>
      <c r="N312" s="58">
        <v>988</v>
      </c>
      <c r="O312" s="65">
        <v>988</v>
      </c>
      <c r="P312" s="65">
        <v>988</v>
      </c>
    </row>
    <row r="313" spans="1:16" x14ac:dyDescent="0.3">
      <c r="A313" s="2" t="s">
        <v>250</v>
      </c>
      <c r="B313" s="1">
        <v>875</v>
      </c>
      <c r="C313" s="3">
        <v>875</v>
      </c>
      <c r="D313" s="3">
        <v>875</v>
      </c>
      <c r="E313" s="4">
        <v>875</v>
      </c>
      <c r="F313" s="1">
        <v>875</v>
      </c>
      <c r="G313" s="40">
        <v>875</v>
      </c>
      <c r="H313" s="18">
        <v>551</v>
      </c>
      <c r="I313" s="20">
        <v>551</v>
      </c>
      <c r="J313" s="21">
        <v>551</v>
      </c>
      <c r="K313" s="21">
        <v>551</v>
      </c>
      <c r="L313" s="58">
        <v>551</v>
      </c>
      <c r="M313" s="58">
        <v>551</v>
      </c>
      <c r="N313" s="58">
        <v>551</v>
      </c>
      <c r="O313" s="65">
        <v>551</v>
      </c>
      <c r="P313" s="65">
        <v>551</v>
      </c>
    </row>
    <row r="314" spans="1:16" x14ac:dyDescent="0.3">
      <c r="A314" s="2" t="s">
        <v>251</v>
      </c>
      <c r="B314" s="1">
        <v>1175</v>
      </c>
      <c r="C314" s="3">
        <v>1175</v>
      </c>
      <c r="D314" s="3">
        <v>1175</v>
      </c>
      <c r="E314" s="4">
        <v>1175</v>
      </c>
      <c r="F314" s="1">
        <v>1175</v>
      </c>
      <c r="G314" s="40">
        <v>1150</v>
      </c>
      <c r="H314" s="18">
        <v>724.18</v>
      </c>
      <c r="I314" s="20">
        <v>724.18</v>
      </c>
      <c r="J314" s="21">
        <v>724.18</v>
      </c>
      <c r="K314" s="21">
        <v>724.18</v>
      </c>
      <c r="L314" s="58">
        <v>724.18</v>
      </c>
      <c r="M314" s="58">
        <v>724.18</v>
      </c>
      <c r="N314" s="58">
        <v>724.18</v>
      </c>
      <c r="O314" s="65">
        <v>724.18</v>
      </c>
      <c r="P314" s="65">
        <v>724.18</v>
      </c>
    </row>
    <row r="315" spans="1:16" x14ac:dyDescent="0.3">
      <c r="A315" s="2" t="s">
        <v>252</v>
      </c>
      <c r="B315" s="1">
        <v>1500</v>
      </c>
      <c r="C315" s="3">
        <v>1500</v>
      </c>
      <c r="D315" s="3">
        <v>1500</v>
      </c>
      <c r="E315" s="4">
        <v>1500</v>
      </c>
      <c r="F315" s="1">
        <v>1500</v>
      </c>
      <c r="G315" s="40">
        <v>1500</v>
      </c>
      <c r="H315" s="18">
        <v>945</v>
      </c>
      <c r="I315" s="17" t="s">
        <v>143</v>
      </c>
      <c r="J315" s="18" t="s">
        <v>143</v>
      </c>
      <c r="K315" s="18" t="s">
        <v>143</v>
      </c>
      <c r="L315" s="18" t="s">
        <v>143</v>
      </c>
      <c r="M315" s="18" t="s">
        <v>143</v>
      </c>
      <c r="N315" s="18" t="s">
        <v>143</v>
      </c>
      <c r="O315" s="65" t="s">
        <v>143</v>
      </c>
      <c r="P315" s="65"/>
    </row>
    <row r="316" spans="1:16" x14ac:dyDescent="0.3">
      <c r="A316" s="2" t="s">
        <v>253</v>
      </c>
      <c r="B316" s="1">
        <v>1035</v>
      </c>
      <c r="C316" s="3">
        <v>1035</v>
      </c>
      <c r="D316" s="3">
        <v>1035</v>
      </c>
      <c r="E316" s="4">
        <v>1035</v>
      </c>
      <c r="F316" s="1">
        <v>1035</v>
      </c>
      <c r="G316" s="40">
        <v>1035</v>
      </c>
      <c r="H316" s="18">
        <v>652</v>
      </c>
      <c r="I316" s="20">
        <v>652</v>
      </c>
      <c r="J316" s="21">
        <v>652</v>
      </c>
      <c r="K316" s="21">
        <v>652</v>
      </c>
      <c r="L316" s="58">
        <v>652</v>
      </c>
      <c r="M316" s="58">
        <v>652</v>
      </c>
      <c r="N316" s="58">
        <v>652</v>
      </c>
      <c r="O316" s="65">
        <v>652</v>
      </c>
      <c r="P316" s="65">
        <v>652</v>
      </c>
    </row>
    <row r="317" spans="1:16" x14ac:dyDescent="0.3">
      <c r="A317" s="2" t="s">
        <v>254</v>
      </c>
      <c r="B317" s="1">
        <v>1400</v>
      </c>
      <c r="C317" s="3">
        <v>1400</v>
      </c>
      <c r="D317" s="3">
        <v>1400</v>
      </c>
      <c r="E317" s="4">
        <v>1400</v>
      </c>
      <c r="F317" s="1">
        <v>1400</v>
      </c>
      <c r="G317" s="40">
        <v>1400</v>
      </c>
      <c r="H317" s="18">
        <v>882</v>
      </c>
      <c r="I317" s="20">
        <v>945</v>
      </c>
      <c r="J317" s="21">
        <v>945</v>
      </c>
      <c r="K317" s="21">
        <v>945</v>
      </c>
      <c r="L317" s="58">
        <v>945</v>
      </c>
      <c r="M317" s="58">
        <v>945</v>
      </c>
      <c r="N317" s="58">
        <v>945</v>
      </c>
      <c r="O317" s="65">
        <v>945</v>
      </c>
      <c r="P317" s="65">
        <v>945</v>
      </c>
    </row>
    <row r="318" spans="1:16" x14ac:dyDescent="0.3">
      <c r="A318" s="48" t="s">
        <v>255</v>
      </c>
      <c r="B318" s="1">
        <v>1400</v>
      </c>
      <c r="C318" s="3">
        <v>1400</v>
      </c>
      <c r="D318" s="3">
        <v>1400</v>
      </c>
      <c r="E318" s="4">
        <v>1400</v>
      </c>
      <c r="F318" s="1">
        <v>1400</v>
      </c>
      <c r="G318" s="40">
        <v>1400</v>
      </c>
      <c r="H318" s="18">
        <v>880</v>
      </c>
      <c r="I318" s="20">
        <v>880</v>
      </c>
      <c r="J318" s="21">
        <v>880</v>
      </c>
      <c r="K318" s="21">
        <v>880</v>
      </c>
      <c r="L318" s="21">
        <v>880</v>
      </c>
      <c r="M318" s="21">
        <v>880</v>
      </c>
      <c r="N318" s="58">
        <v>880</v>
      </c>
      <c r="O318" s="65">
        <v>880</v>
      </c>
      <c r="P318" s="65">
        <v>880</v>
      </c>
    </row>
    <row r="319" spans="1:16" x14ac:dyDescent="0.3">
      <c r="A319" s="48" t="s">
        <v>255</v>
      </c>
      <c r="B319" s="50"/>
      <c r="C319" s="50"/>
      <c r="D319" s="50"/>
      <c r="E319" s="51"/>
      <c r="F319" s="52"/>
      <c r="G319" s="53"/>
      <c r="H319" s="54"/>
      <c r="I319" s="55"/>
      <c r="J319" s="21"/>
      <c r="K319" s="21"/>
      <c r="L319" s="21"/>
      <c r="M319" s="21"/>
      <c r="N319" s="58">
        <v>1055</v>
      </c>
      <c r="O319" s="65">
        <v>1055</v>
      </c>
      <c r="P319" s="65">
        <v>1055</v>
      </c>
    </row>
    <row r="320" spans="1:16" x14ac:dyDescent="0.3">
      <c r="A320" s="2" t="s">
        <v>256</v>
      </c>
      <c r="B320" s="1">
        <v>1200</v>
      </c>
      <c r="C320" s="3">
        <v>1200</v>
      </c>
      <c r="D320" s="3">
        <v>1400</v>
      </c>
      <c r="E320" s="4">
        <v>1400</v>
      </c>
      <c r="F320" s="1">
        <v>1400</v>
      </c>
      <c r="G320" s="40">
        <v>1400</v>
      </c>
      <c r="H320" s="18">
        <v>881.6</v>
      </c>
      <c r="I320" s="20">
        <v>881.6</v>
      </c>
      <c r="J320" s="21">
        <v>881.6</v>
      </c>
      <c r="K320" s="21">
        <v>881.6</v>
      </c>
      <c r="L320" s="58">
        <v>881.6</v>
      </c>
      <c r="M320" s="58">
        <v>881.6</v>
      </c>
      <c r="N320" s="58">
        <v>881.6</v>
      </c>
      <c r="O320" s="65">
        <v>881.6</v>
      </c>
      <c r="P320" s="65">
        <v>950</v>
      </c>
    </row>
    <row r="321" spans="1:16" x14ac:dyDescent="0.3">
      <c r="A321" s="2" t="s">
        <v>257</v>
      </c>
      <c r="B321" s="1">
        <v>1495</v>
      </c>
      <c r="C321" s="3">
        <v>1495</v>
      </c>
      <c r="D321" s="3">
        <v>1495</v>
      </c>
      <c r="E321" s="4">
        <v>1495</v>
      </c>
      <c r="F321" s="1">
        <v>1495</v>
      </c>
      <c r="G321" s="40">
        <v>1495</v>
      </c>
      <c r="H321" s="18">
        <v>941</v>
      </c>
      <c r="I321" s="20">
        <v>941</v>
      </c>
      <c r="J321" s="21">
        <v>941</v>
      </c>
      <c r="K321" s="21">
        <v>941</v>
      </c>
      <c r="L321" s="58">
        <v>941</v>
      </c>
      <c r="M321" s="58">
        <v>941</v>
      </c>
      <c r="N321" s="58">
        <v>941</v>
      </c>
      <c r="O321" s="65">
        <v>941</v>
      </c>
      <c r="P321" s="65">
        <v>941</v>
      </c>
    </row>
    <row r="322" spans="1:16" x14ac:dyDescent="0.3">
      <c r="A322" s="76" t="s">
        <v>354</v>
      </c>
      <c r="B322" s="1">
        <v>750</v>
      </c>
      <c r="C322" s="3">
        <v>750</v>
      </c>
      <c r="D322" s="3">
        <v>750</v>
      </c>
      <c r="E322" s="4">
        <v>750</v>
      </c>
      <c r="F322" s="1">
        <v>750</v>
      </c>
      <c r="G322" s="40">
        <v>750</v>
      </c>
      <c r="H322" s="18">
        <v>472</v>
      </c>
      <c r="I322" s="20">
        <v>472</v>
      </c>
      <c r="J322" s="21">
        <v>472</v>
      </c>
      <c r="K322" s="21">
        <v>472</v>
      </c>
      <c r="L322" s="58">
        <v>472</v>
      </c>
      <c r="M322" s="58">
        <v>472</v>
      </c>
      <c r="N322" s="58">
        <v>472</v>
      </c>
      <c r="O322" s="65">
        <v>472</v>
      </c>
      <c r="P322" s="65">
        <v>472</v>
      </c>
    </row>
    <row r="323" spans="1:16" x14ac:dyDescent="0.3">
      <c r="A323" s="76" t="s">
        <v>355</v>
      </c>
      <c r="B323" s="68"/>
      <c r="C323" s="68"/>
      <c r="D323" s="68"/>
      <c r="E323" s="69"/>
      <c r="F323" s="70"/>
      <c r="G323" s="71"/>
      <c r="H323" s="72"/>
      <c r="I323" s="73"/>
      <c r="J323" s="74"/>
      <c r="K323" s="74"/>
      <c r="L323" s="75"/>
      <c r="M323" s="75"/>
      <c r="N323" s="75"/>
      <c r="O323" s="75"/>
      <c r="P323" s="75">
        <v>610</v>
      </c>
    </row>
    <row r="324" spans="1:16" x14ac:dyDescent="0.3">
      <c r="A324" s="76" t="s">
        <v>355</v>
      </c>
      <c r="B324" s="68"/>
      <c r="C324" s="68"/>
      <c r="D324" s="68"/>
      <c r="E324" s="69"/>
      <c r="F324" s="70"/>
      <c r="G324" s="71"/>
      <c r="H324" s="72"/>
      <c r="I324" s="73"/>
      <c r="J324" s="74"/>
      <c r="K324" s="74"/>
      <c r="L324" s="75"/>
      <c r="M324" s="75"/>
      <c r="N324" s="75"/>
      <c r="O324" s="75"/>
      <c r="P324" s="75">
        <v>730</v>
      </c>
    </row>
    <row r="325" spans="1:16" x14ac:dyDescent="0.3">
      <c r="A325" s="2" t="s">
        <v>258</v>
      </c>
      <c r="B325" s="1">
        <v>1325</v>
      </c>
      <c r="C325" s="3">
        <v>1325</v>
      </c>
      <c r="D325" s="3">
        <v>1325</v>
      </c>
      <c r="E325" s="4">
        <v>1325</v>
      </c>
      <c r="F325" s="1">
        <v>1325</v>
      </c>
      <c r="G325" s="40">
        <v>1325</v>
      </c>
      <c r="H325" s="18">
        <v>834.38</v>
      </c>
      <c r="I325" s="20">
        <v>834.38</v>
      </c>
      <c r="J325" s="21">
        <v>834.38</v>
      </c>
      <c r="K325" s="21">
        <v>834.38</v>
      </c>
      <c r="L325" s="58">
        <v>834.38</v>
      </c>
      <c r="M325" s="58">
        <v>834.38</v>
      </c>
      <c r="N325" s="58">
        <v>834.38</v>
      </c>
      <c r="O325" s="65">
        <v>834.38</v>
      </c>
      <c r="P325" s="65">
        <v>834.38</v>
      </c>
    </row>
    <row r="326" spans="1:16" x14ac:dyDescent="0.3">
      <c r="A326" s="48" t="s">
        <v>259</v>
      </c>
      <c r="B326" s="7"/>
      <c r="C326" s="7"/>
      <c r="D326" s="7"/>
      <c r="E326" s="4"/>
      <c r="G326" s="41"/>
      <c r="H326" s="17"/>
      <c r="I326" s="22"/>
      <c r="J326" s="18">
        <v>740</v>
      </c>
      <c r="K326" s="18">
        <v>740</v>
      </c>
      <c r="L326" s="58">
        <v>740</v>
      </c>
      <c r="M326" s="58">
        <v>740</v>
      </c>
      <c r="N326" s="58">
        <v>740</v>
      </c>
      <c r="O326" s="65">
        <v>740</v>
      </c>
      <c r="P326" s="65">
        <v>980</v>
      </c>
    </row>
    <row r="327" spans="1:16" x14ac:dyDescent="0.3">
      <c r="A327" s="48" t="s">
        <v>259</v>
      </c>
      <c r="B327" s="1">
        <v>900</v>
      </c>
      <c r="C327" s="3">
        <v>900</v>
      </c>
      <c r="D327" s="3">
        <v>900</v>
      </c>
      <c r="E327" s="4">
        <v>900</v>
      </c>
      <c r="F327" s="1">
        <v>900</v>
      </c>
      <c r="G327" s="40">
        <v>900</v>
      </c>
      <c r="H327" s="18">
        <v>566.75</v>
      </c>
      <c r="I327" s="17">
        <v>566.75</v>
      </c>
      <c r="J327" s="21">
        <v>566.75</v>
      </c>
      <c r="K327" s="21">
        <v>566.75</v>
      </c>
      <c r="L327" s="58">
        <v>566.75</v>
      </c>
      <c r="M327" s="58">
        <v>566.75</v>
      </c>
      <c r="N327" s="58">
        <v>566.75</v>
      </c>
      <c r="O327" s="65">
        <v>566.75</v>
      </c>
      <c r="P327" s="65">
        <v>872</v>
      </c>
    </row>
    <row r="328" spans="1:16" x14ac:dyDescent="0.3">
      <c r="A328" s="76" t="s">
        <v>356</v>
      </c>
      <c r="B328" s="1">
        <v>1500</v>
      </c>
      <c r="C328" s="3">
        <v>1500</v>
      </c>
      <c r="D328" s="3">
        <v>1500</v>
      </c>
      <c r="E328" s="4">
        <v>1500</v>
      </c>
      <c r="F328" s="1">
        <v>1500</v>
      </c>
      <c r="G328" s="40">
        <v>1500</v>
      </c>
      <c r="H328" s="18">
        <v>944.58</v>
      </c>
      <c r="I328" s="17">
        <v>944.58</v>
      </c>
      <c r="J328" s="21">
        <v>944.58</v>
      </c>
      <c r="K328" s="21">
        <v>944.58</v>
      </c>
      <c r="L328" s="58">
        <v>944.58</v>
      </c>
      <c r="M328" s="58">
        <v>944.58</v>
      </c>
      <c r="N328" s="58">
        <v>944.58</v>
      </c>
      <c r="O328" s="65">
        <v>944.58</v>
      </c>
      <c r="P328" s="60">
        <v>940</v>
      </c>
    </row>
    <row r="329" spans="1:16" x14ac:dyDescent="0.3">
      <c r="A329" s="76" t="s">
        <v>356</v>
      </c>
      <c r="B329" s="68"/>
      <c r="C329" s="68"/>
      <c r="D329" s="68"/>
      <c r="E329" s="69"/>
      <c r="F329" s="70"/>
      <c r="G329" s="71"/>
      <c r="H329" s="72"/>
      <c r="I329" s="73"/>
      <c r="J329" s="74"/>
      <c r="K329" s="74"/>
      <c r="L329" s="75"/>
      <c r="M329" s="75"/>
      <c r="N329" s="75"/>
      <c r="O329" s="75"/>
      <c r="P329" s="75">
        <v>990</v>
      </c>
    </row>
    <row r="330" spans="1:16" x14ac:dyDescent="0.3">
      <c r="A330" s="76" t="s">
        <v>356</v>
      </c>
      <c r="B330" s="68"/>
      <c r="C330" s="68"/>
      <c r="D330" s="68"/>
      <c r="E330" s="69"/>
      <c r="F330" s="70"/>
      <c r="G330" s="71"/>
      <c r="H330" s="72"/>
      <c r="I330" s="73"/>
      <c r="J330" s="74"/>
      <c r="K330" s="74"/>
      <c r="L330" s="75"/>
      <c r="M330" s="75"/>
      <c r="N330" s="75"/>
      <c r="O330" s="75"/>
      <c r="P330" s="75">
        <v>1040</v>
      </c>
    </row>
    <row r="331" spans="1:16" x14ac:dyDescent="0.3">
      <c r="A331" s="76" t="s">
        <v>356</v>
      </c>
      <c r="B331" s="68"/>
      <c r="C331" s="68"/>
      <c r="D331" s="68"/>
      <c r="E331" s="69"/>
      <c r="F331" s="70"/>
      <c r="G331" s="71"/>
      <c r="H331" s="72"/>
      <c r="I331" s="73"/>
      <c r="J331" s="74"/>
      <c r="K331" s="74"/>
      <c r="L331" s="75"/>
      <c r="M331" s="75"/>
      <c r="N331" s="75"/>
      <c r="O331" s="75"/>
      <c r="P331" s="75">
        <v>1090</v>
      </c>
    </row>
    <row r="332" spans="1:16" x14ac:dyDescent="0.3">
      <c r="A332" s="76" t="s">
        <v>356</v>
      </c>
      <c r="B332" s="68"/>
      <c r="C332" s="68"/>
      <c r="D332" s="68"/>
      <c r="E332" s="69"/>
      <c r="F332" s="70"/>
      <c r="G332" s="71"/>
      <c r="H332" s="72"/>
      <c r="I332" s="73"/>
      <c r="J332" s="74"/>
      <c r="K332" s="74"/>
      <c r="L332" s="75"/>
      <c r="M332" s="75"/>
      <c r="N332" s="75"/>
      <c r="O332" s="75"/>
      <c r="P332" s="75">
        <v>1140</v>
      </c>
    </row>
    <row r="333" spans="1:16" x14ac:dyDescent="0.3">
      <c r="A333" s="76" t="s">
        <v>356</v>
      </c>
      <c r="B333" s="68"/>
      <c r="C333" s="68"/>
      <c r="D333" s="68"/>
      <c r="E333" s="69"/>
      <c r="F333" s="70"/>
      <c r="G333" s="71"/>
      <c r="H333" s="72"/>
      <c r="I333" s="73"/>
      <c r="J333" s="74"/>
      <c r="K333" s="74"/>
      <c r="L333" s="75"/>
      <c r="M333" s="75"/>
      <c r="N333" s="75"/>
      <c r="O333" s="75"/>
      <c r="P333" s="75">
        <v>1190</v>
      </c>
    </row>
    <row r="334" spans="1:16" x14ac:dyDescent="0.3">
      <c r="A334" s="76" t="s">
        <v>356</v>
      </c>
      <c r="B334" s="68"/>
      <c r="C334" s="68"/>
      <c r="D334" s="68"/>
      <c r="E334" s="69"/>
      <c r="F334" s="70"/>
      <c r="G334" s="71"/>
      <c r="H334" s="72"/>
      <c r="I334" s="73"/>
      <c r="J334" s="74"/>
      <c r="K334" s="74"/>
      <c r="L334" s="75"/>
      <c r="M334" s="75"/>
      <c r="N334" s="75"/>
      <c r="O334" s="75"/>
      <c r="P334" s="75">
        <v>1240</v>
      </c>
    </row>
    <row r="335" spans="1:16" x14ac:dyDescent="0.3">
      <c r="A335" s="2" t="s">
        <v>260</v>
      </c>
      <c r="B335" s="1">
        <v>2200</v>
      </c>
      <c r="C335" s="3">
        <v>2200</v>
      </c>
      <c r="D335" s="3">
        <v>2200</v>
      </c>
      <c r="E335" s="4">
        <v>2200</v>
      </c>
      <c r="F335" s="1">
        <v>2200</v>
      </c>
      <c r="G335" s="40">
        <v>2200</v>
      </c>
      <c r="H335" s="18">
        <v>1400</v>
      </c>
      <c r="I335" s="20">
        <v>1400</v>
      </c>
      <c r="J335" s="21">
        <v>1400</v>
      </c>
      <c r="K335" s="21">
        <v>1400</v>
      </c>
      <c r="L335" s="58">
        <v>1400</v>
      </c>
      <c r="M335" s="58">
        <v>1400</v>
      </c>
      <c r="N335" s="58">
        <v>1400</v>
      </c>
      <c r="O335" s="65">
        <v>1400</v>
      </c>
      <c r="P335" s="65">
        <v>1400</v>
      </c>
    </row>
    <row r="336" spans="1:16" x14ac:dyDescent="0.3">
      <c r="A336" s="2" t="s">
        <v>261</v>
      </c>
      <c r="B336" s="1">
        <v>950</v>
      </c>
      <c r="C336" s="3">
        <v>950</v>
      </c>
      <c r="D336" s="3">
        <v>1200</v>
      </c>
      <c r="E336" s="4">
        <v>1200</v>
      </c>
      <c r="F336" s="1">
        <v>1200</v>
      </c>
      <c r="G336" s="40">
        <v>1200</v>
      </c>
      <c r="H336" s="18">
        <v>755</v>
      </c>
      <c r="I336" s="20">
        <v>755</v>
      </c>
      <c r="J336" s="21">
        <v>755</v>
      </c>
      <c r="K336" s="21">
        <v>755</v>
      </c>
      <c r="L336" s="58">
        <v>755</v>
      </c>
      <c r="M336" s="58">
        <v>755</v>
      </c>
      <c r="N336" s="58">
        <v>755</v>
      </c>
      <c r="O336" s="65">
        <v>755</v>
      </c>
      <c r="P336" s="65">
        <v>755</v>
      </c>
    </row>
    <row r="337" spans="1:16" x14ac:dyDescent="0.3">
      <c r="A337" s="2" t="s">
        <v>262</v>
      </c>
      <c r="B337" s="1">
        <v>1700</v>
      </c>
      <c r="C337" s="3">
        <v>1700</v>
      </c>
      <c r="D337" s="3">
        <v>1700</v>
      </c>
      <c r="E337" s="4">
        <v>1700</v>
      </c>
      <c r="F337" s="1">
        <v>1700</v>
      </c>
      <c r="G337" s="40">
        <v>1700</v>
      </c>
      <c r="H337" s="18">
        <v>1071</v>
      </c>
      <c r="I337" s="20">
        <v>1071</v>
      </c>
      <c r="J337" s="21">
        <v>1150</v>
      </c>
      <c r="K337" s="21">
        <v>1150</v>
      </c>
      <c r="L337" s="58">
        <v>1150</v>
      </c>
      <c r="M337" s="58">
        <v>1150</v>
      </c>
      <c r="N337" s="58">
        <v>1150</v>
      </c>
      <c r="O337" s="65">
        <v>1150</v>
      </c>
      <c r="P337" s="65">
        <v>1150</v>
      </c>
    </row>
    <row r="338" spans="1:16" x14ac:dyDescent="0.3">
      <c r="A338" s="76" t="s">
        <v>325</v>
      </c>
      <c r="B338" s="1">
        <v>900</v>
      </c>
      <c r="C338" s="3">
        <v>900</v>
      </c>
      <c r="D338" s="3">
        <v>1050</v>
      </c>
      <c r="E338" s="4">
        <v>1050</v>
      </c>
      <c r="F338" s="1">
        <v>1050</v>
      </c>
      <c r="G338" s="40">
        <v>1050</v>
      </c>
      <c r="H338" s="18">
        <v>661.21</v>
      </c>
      <c r="I338" s="20">
        <v>661.21</v>
      </c>
      <c r="J338" s="21">
        <v>661.21</v>
      </c>
      <c r="K338" s="21">
        <v>661.21</v>
      </c>
      <c r="L338" s="58">
        <v>661.21</v>
      </c>
      <c r="M338" s="58">
        <v>661.21</v>
      </c>
      <c r="N338" s="58">
        <v>661.21</v>
      </c>
      <c r="O338" s="65">
        <v>661.21</v>
      </c>
      <c r="P338" s="79">
        <v>661</v>
      </c>
    </row>
    <row r="339" spans="1:16" x14ac:dyDescent="0.3">
      <c r="A339" s="76" t="s">
        <v>325</v>
      </c>
      <c r="B339" s="68"/>
      <c r="C339" s="68"/>
      <c r="D339" s="68"/>
      <c r="E339" s="69"/>
      <c r="F339" s="70"/>
      <c r="G339" s="71"/>
      <c r="H339" s="72"/>
      <c r="I339" s="73"/>
      <c r="J339" s="74"/>
      <c r="K339" s="74"/>
      <c r="L339" s="75"/>
      <c r="M339" s="75"/>
      <c r="N339" s="75"/>
      <c r="O339" s="75"/>
      <c r="P339" s="75">
        <v>860</v>
      </c>
    </row>
    <row r="340" spans="1:16" x14ac:dyDescent="0.3">
      <c r="A340" s="2" t="s">
        <v>263</v>
      </c>
      <c r="B340" s="1">
        <v>1550</v>
      </c>
      <c r="C340" s="3">
        <v>1550</v>
      </c>
      <c r="D340" s="3">
        <v>1550</v>
      </c>
      <c r="E340" s="4">
        <v>1550</v>
      </c>
      <c r="F340" s="1">
        <v>1550</v>
      </c>
      <c r="G340" s="40">
        <v>1550</v>
      </c>
      <c r="H340" s="18">
        <v>976</v>
      </c>
      <c r="I340" s="20">
        <v>976</v>
      </c>
      <c r="J340" s="21">
        <v>976</v>
      </c>
      <c r="K340" s="21">
        <v>976</v>
      </c>
      <c r="L340" s="58">
        <v>976</v>
      </c>
      <c r="M340" s="58">
        <v>976</v>
      </c>
      <c r="N340" s="58">
        <v>976</v>
      </c>
      <c r="O340" s="65">
        <v>976</v>
      </c>
      <c r="P340" s="65">
        <v>976</v>
      </c>
    </row>
    <row r="341" spans="1:16" x14ac:dyDescent="0.3">
      <c r="A341" s="2" t="s">
        <v>264</v>
      </c>
      <c r="B341" s="1">
        <v>1125</v>
      </c>
      <c r="C341" s="3">
        <v>1125</v>
      </c>
      <c r="D341" s="3">
        <v>1500</v>
      </c>
      <c r="E341" s="4">
        <v>1500</v>
      </c>
      <c r="F341" s="1">
        <v>1500</v>
      </c>
      <c r="G341" s="40">
        <v>1500</v>
      </c>
      <c r="H341" s="18">
        <v>944.58</v>
      </c>
      <c r="I341" s="20">
        <v>944.58</v>
      </c>
      <c r="J341" s="21">
        <v>944.58</v>
      </c>
      <c r="K341" s="21">
        <v>944.58</v>
      </c>
      <c r="L341" s="58">
        <v>944.58</v>
      </c>
      <c r="M341" s="58">
        <v>944.58</v>
      </c>
      <c r="N341" s="58">
        <v>944.58</v>
      </c>
      <c r="O341" s="65">
        <v>944.58</v>
      </c>
      <c r="P341" s="65">
        <v>944.58</v>
      </c>
    </row>
    <row r="342" spans="1:16" x14ac:dyDescent="0.3">
      <c r="A342" s="48" t="s">
        <v>265</v>
      </c>
      <c r="B342" s="1">
        <v>1275</v>
      </c>
      <c r="C342" s="3">
        <v>1275</v>
      </c>
      <c r="D342" s="3">
        <v>1275</v>
      </c>
      <c r="E342" s="4">
        <v>1275</v>
      </c>
      <c r="F342" s="1">
        <v>1275</v>
      </c>
      <c r="G342" s="40">
        <v>1275</v>
      </c>
      <c r="H342" s="18">
        <v>802.9</v>
      </c>
      <c r="I342" s="20">
        <v>802.9</v>
      </c>
      <c r="J342" s="21">
        <v>802.9</v>
      </c>
      <c r="K342" s="21">
        <v>802.9</v>
      </c>
      <c r="L342" s="58">
        <v>802.9</v>
      </c>
      <c r="M342" s="58">
        <v>802.9</v>
      </c>
      <c r="N342" s="58">
        <v>802.9</v>
      </c>
      <c r="O342" s="65">
        <v>802.9</v>
      </c>
      <c r="P342" s="65">
        <v>802.9</v>
      </c>
    </row>
    <row r="343" spans="1:16" x14ac:dyDescent="0.3">
      <c r="A343" s="48" t="s">
        <v>265</v>
      </c>
      <c r="B343" s="50"/>
      <c r="C343" s="50"/>
      <c r="D343" s="50"/>
      <c r="E343" s="51"/>
      <c r="F343" s="52"/>
      <c r="G343" s="53"/>
      <c r="H343" s="54"/>
      <c r="I343" s="55"/>
      <c r="J343" s="21"/>
      <c r="K343" s="21"/>
      <c r="L343" s="58"/>
      <c r="M343" s="58"/>
      <c r="N343" s="58">
        <v>1250</v>
      </c>
      <c r="O343" s="65">
        <v>1250</v>
      </c>
      <c r="P343" s="65">
        <v>1250</v>
      </c>
    </row>
    <row r="344" spans="1:16" x14ac:dyDescent="0.3">
      <c r="A344" s="2" t="s">
        <v>266</v>
      </c>
      <c r="B344" s="1">
        <v>975</v>
      </c>
      <c r="C344" s="3">
        <v>975</v>
      </c>
      <c r="D344" s="3">
        <v>975</v>
      </c>
      <c r="E344" s="4">
        <v>975</v>
      </c>
      <c r="F344" s="1">
        <v>975</v>
      </c>
      <c r="G344" s="40">
        <v>975</v>
      </c>
      <c r="H344" s="18">
        <v>614</v>
      </c>
      <c r="I344" s="20">
        <v>614</v>
      </c>
      <c r="J344" s="21">
        <v>614</v>
      </c>
      <c r="K344" s="21">
        <v>614</v>
      </c>
      <c r="L344" s="21">
        <v>614</v>
      </c>
      <c r="M344" s="21">
        <v>614</v>
      </c>
      <c r="N344" s="58">
        <v>614</v>
      </c>
      <c r="O344" s="65">
        <v>614</v>
      </c>
      <c r="P344" s="65">
        <v>614</v>
      </c>
    </row>
    <row r="345" spans="1:16" x14ac:dyDescent="0.3">
      <c r="A345" s="2" t="s">
        <v>267</v>
      </c>
      <c r="B345" s="1">
        <v>1250</v>
      </c>
      <c r="C345" s="3">
        <v>1350</v>
      </c>
      <c r="D345" s="3">
        <v>1350</v>
      </c>
      <c r="E345" s="4">
        <v>1350</v>
      </c>
      <c r="F345" s="1">
        <v>1350</v>
      </c>
      <c r="G345" s="40">
        <v>1350</v>
      </c>
      <c r="H345" s="18">
        <v>850.13</v>
      </c>
      <c r="I345" s="20">
        <v>850.13</v>
      </c>
      <c r="J345" s="21">
        <v>850.13</v>
      </c>
      <c r="K345" s="21">
        <v>850.13</v>
      </c>
      <c r="L345" s="58">
        <v>850.13</v>
      </c>
      <c r="M345" s="58">
        <v>850.13</v>
      </c>
      <c r="N345" s="58">
        <v>850.13</v>
      </c>
      <c r="O345" s="65" t="s">
        <v>42</v>
      </c>
      <c r="P345" s="65"/>
    </row>
    <row r="346" spans="1:16" x14ac:dyDescent="0.3">
      <c r="A346" s="66" t="s">
        <v>268</v>
      </c>
      <c r="B346" s="50"/>
      <c r="C346" s="50"/>
      <c r="D346" s="50"/>
      <c r="E346" s="51"/>
      <c r="F346" s="52"/>
      <c r="G346" s="53"/>
      <c r="H346" s="54"/>
      <c r="I346" s="55"/>
      <c r="J346" s="21"/>
      <c r="K346" s="21"/>
      <c r="L346" s="58"/>
      <c r="M346" s="58"/>
      <c r="N346" s="58"/>
      <c r="O346" s="58">
        <v>850.13</v>
      </c>
      <c r="P346" s="65">
        <v>850.13</v>
      </c>
    </row>
    <row r="347" spans="1:16" x14ac:dyDescent="0.3">
      <c r="A347" s="2" t="s">
        <v>269</v>
      </c>
      <c r="B347" s="1">
        <v>1250</v>
      </c>
      <c r="C347" s="3">
        <v>1250</v>
      </c>
      <c r="D347" s="3">
        <v>1400</v>
      </c>
      <c r="E347" s="4">
        <v>1400</v>
      </c>
      <c r="F347" s="1">
        <v>1400</v>
      </c>
      <c r="G347" s="40">
        <v>1400</v>
      </c>
      <c r="H347" s="18">
        <v>882</v>
      </c>
      <c r="I347" s="20">
        <v>882</v>
      </c>
      <c r="J347" s="21">
        <v>1032</v>
      </c>
      <c r="K347" s="21">
        <v>1032</v>
      </c>
      <c r="L347" s="58">
        <v>1032</v>
      </c>
      <c r="M347" s="58">
        <v>1032</v>
      </c>
      <c r="N347" s="58">
        <v>1032</v>
      </c>
      <c r="O347" s="65">
        <v>1032</v>
      </c>
      <c r="P347" s="65">
        <v>1032</v>
      </c>
    </row>
    <row r="348" spans="1:16" x14ac:dyDescent="0.3">
      <c r="A348" s="2" t="s">
        <v>270</v>
      </c>
      <c r="B348" s="1">
        <v>1350</v>
      </c>
      <c r="C348" s="3">
        <v>1350</v>
      </c>
      <c r="D348" s="3">
        <v>1350</v>
      </c>
      <c r="E348" s="4">
        <v>1350</v>
      </c>
      <c r="F348" s="1">
        <v>1350</v>
      </c>
      <c r="G348" s="40">
        <v>1350</v>
      </c>
      <c r="H348" s="18">
        <v>850.13</v>
      </c>
      <c r="I348" s="20">
        <v>850.13</v>
      </c>
      <c r="J348" s="21">
        <v>850.13</v>
      </c>
      <c r="K348" s="21">
        <v>850.13</v>
      </c>
      <c r="L348" s="58">
        <v>850.13</v>
      </c>
      <c r="M348" s="58">
        <v>850.13</v>
      </c>
      <c r="N348" s="58">
        <v>850.13</v>
      </c>
      <c r="O348" s="65">
        <v>850.13</v>
      </c>
      <c r="P348" s="65">
        <v>850.13</v>
      </c>
    </row>
    <row r="349" spans="1:16" x14ac:dyDescent="0.3">
      <c r="A349" s="2" t="s">
        <v>271</v>
      </c>
      <c r="B349" s="1">
        <v>1400</v>
      </c>
      <c r="C349" s="3">
        <v>1400</v>
      </c>
      <c r="D349" s="3">
        <v>1400</v>
      </c>
      <c r="E349" s="4">
        <v>1400</v>
      </c>
      <c r="F349" s="1">
        <v>1400</v>
      </c>
      <c r="G349" s="40">
        <v>1400</v>
      </c>
      <c r="H349" s="18">
        <v>882</v>
      </c>
      <c r="I349" s="20">
        <v>882</v>
      </c>
      <c r="J349" s="21">
        <v>982</v>
      </c>
      <c r="K349" s="21">
        <v>982</v>
      </c>
      <c r="L349" s="58">
        <v>982</v>
      </c>
      <c r="M349" s="58">
        <v>982</v>
      </c>
      <c r="N349" s="58">
        <v>982</v>
      </c>
      <c r="O349" s="65">
        <v>982</v>
      </c>
      <c r="P349" s="65">
        <v>982</v>
      </c>
    </row>
    <row r="350" spans="1:16" x14ac:dyDescent="0.3">
      <c r="A350" s="2" t="s">
        <v>272</v>
      </c>
      <c r="B350" s="1">
        <v>1250</v>
      </c>
      <c r="C350" s="3">
        <v>1250</v>
      </c>
      <c r="D350" s="3">
        <v>1250</v>
      </c>
      <c r="E350" s="4">
        <v>1250</v>
      </c>
      <c r="F350" s="1">
        <v>1250</v>
      </c>
      <c r="G350" s="40">
        <v>1250</v>
      </c>
      <c r="H350" s="18">
        <v>787.15</v>
      </c>
      <c r="I350" s="20">
        <v>900</v>
      </c>
      <c r="J350" s="21">
        <v>900</v>
      </c>
      <c r="K350" s="21">
        <v>900</v>
      </c>
      <c r="L350" s="58">
        <v>900</v>
      </c>
      <c r="M350" s="58">
        <v>900</v>
      </c>
      <c r="N350" s="58">
        <v>900</v>
      </c>
      <c r="O350" s="65" t="s">
        <v>42</v>
      </c>
      <c r="P350" s="65"/>
    </row>
    <row r="351" spans="1:16" x14ac:dyDescent="0.3">
      <c r="A351" s="66" t="s">
        <v>273</v>
      </c>
      <c r="B351" s="50"/>
      <c r="C351" s="50"/>
      <c r="D351" s="50"/>
      <c r="E351" s="51"/>
      <c r="F351" s="52"/>
      <c r="G351" s="53"/>
      <c r="H351" s="54"/>
      <c r="I351" s="55"/>
      <c r="J351" s="21"/>
      <c r="K351" s="21"/>
      <c r="L351" s="58"/>
      <c r="M351" s="58"/>
      <c r="N351" s="58"/>
      <c r="O351" s="58">
        <v>900</v>
      </c>
      <c r="P351" s="65">
        <v>900</v>
      </c>
    </row>
    <row r="352" spans="1:16" x14ac:dyDescent="0.3">
      <c r="A352" s="2" t="s">
        <v>274</v>
      </c>
      <c r="B352" s="1">
        <v>1750</v>
      </c>
      <c r="C352" s="3">
        <v>1750</v>
      </c>
      <c r="D352" s="3">
        <v>1750</v>
      </c>
      <c r="E352" s="4">
        <v>1750</v>
      </c>
      <c r="F352" s="1">
        <v>1750</v>
      </c>
      <c r="G352" s="40">
        <v>1750</v>
      </c>
      <c r="H352" s="18">
        <v>1102</v>
      </c>
      <c r="I352" s="20">
        <v>1102</v>
      </c>
      <c r="J352" s="21">
        <v>1102</v>
      </c>
      <c r="K352" s="21">
        <v>1102</v>
      </c>
      <c r="L352" s="58">
        <v>1102</v>
      </c>
      <c r="M352" s="58">
        <v>1102</v>
      </c>
      <c r="N352" s="58">
        <v>1102</v>
      </c>
      <c r="O352" s="65">
        <v>1102</v>
      </c>
      <c r="P352" s="65">
        <v>1102</v>
      </c>
    </row>
    <row r="353" spans="1:16" x14ac:dyDescent="0.3">
      <c r="A353" s="2" t="s">
        <v>275</v>
      </c>
      <c r="B353" s="1">
        <v>900</v>
      </c>
      <c r="C353" s="3">
        <v>900</v>
      </c>
      <c r="D353" s="3">
        <v>900</v>
      </c>
      <c r="E353" s="4">
        <v>900</v>
      </c>
      <c r="F353" s="1">
        <v>900</v>
      </c>
      <c r="G353" s="40">
        <v>900</v>
      </c>
      <c r="H353" s="18">
        <v>567</v>
      </c>
      <c r="I353" s="20">
        <v>567</v>
      </c>
      <c r="J353" s="21">
        <v>567</v>
      </c>
      <c r="K353" s="21">
        <v>567</v>
      </c>
      <c r="L353" s="58">
        <v>567</v>
      </c>
      <c r="M353" s="58">
        <v>567</v>
      </c>
      <c r="N353" s="58">
        <v>567</v>
      </c>
      <c r="O353" s="65">
        <v>567</v>
      </c>
      <c r="P353" s="65">
        <v>799</v>
      </c>
    </row>
    <row r="354" spans="1:16" x14ac:dyDescent="0.3">
      <c r="A354" s="2" t="s">
        <v>276</v>
      </c>
      <c r="B354" s="1">
        <v>1450</v>
      </c>
      <c r="C354" s="3">
        <v>1450</v>
      </c>
      <c r="D354" s="3">
        <v>1450</v>
      </c>
      <c r="E354" s="4">
        <v>1450</v>
      </c>
      <c r="F354" s="1">
        <v>1450</v>
      </c>
      <c r="G354" s="40">
        <v>1450</v>
      </c>
      <c r="H354" s="18">
        <v>913</v>
      </c>
      <c r="I354" s="20">
        <v>913</v>
      </c>
      <c r="J354" s="21">
        <v>913</v>
      </c>
      <c r="K354" s="21">
        <v>913</v>
      </c>
      <c r="L354" s="58">
        <v>913</v>
      </c>
      <c r="M354" s="58">
        <v>913</v>
      </c>
      <c r="N354" s="58">
        <v>913</v>
      </c>
      <c r="O354" s="65">
        <v>913</v>
      </c>
      <c r="P354" s="65">
        <v>953</v>
      </c>
    </row>
    <row r="355" spans="1:16" x14ac:dyDescent="0.3">
      <c r="A355" s="2" t="s">
        <v>277</v>
      </c>
      <c r="B355" s="1">
        <v>1920</v>
      </c>
      <c r="C355" s="3">
        <v>1920</v>
      </c>
      <c r="D355" s="3">
        <v>1920</v>
      </c>
      <c r="E355" s="4">
        <v>1920</v>
      </c>
      <c r="F355" s="1">
        <v>1920</v>
      </c>
      <c r="G355" s="40">
        <v>1920</v>
      </c>
      <c r="H355" s="18">
        <v>1209</v>
      </c>
      <c r="I355" s="20">
        <v>1209</v>
      </c>
      <c r="J355" s="21">
        <v>1209</v>
      </c>
      <c r="K355" s="21">
        <v>1209</v>
      </c>
      <c r="L355" s="58">
        <v>1209</v>
      </c>
      <c r="M355" s="58">
        <v>1209</v>
      </c>
      <c r="N355" s="58">
        <v>1209</v>
      </c>
      <c r="O355" s="65">
        <v>1209</v>
      </c>
      <c r="P355" s="65">
        <v>1209</v>
      </c>
    </row>
    <row r="356" spans="1:16" x14ac:dyDescent="0.3">
      <c r="A356" s="2" t="s">
        <v>278</v>
      </c>
      <c r="B356" s="1">
        <v>1200</v>
      </c>
      <c r="C356" s="3">
        <v>1200</v>
      </c>
      <c r="D356" s="3">
        <v>1525</v>
      </c>
      <c r="E356" s="4">
        <v>1525</v>
      </c>
      <c r="F356" s="1">
        <v>1525</v>
      </c>
      <c r="G356" s="40">
        <v>1525</v>
      </c>
      <c r="H356" s="18">
        <v>960</v>
      </c>
      <c r="I356" s="20">
        <v>960</v>
      </c>
      <c r="J356" s="21">
        <v>960</v>
      </c>
      <c r="K356" s="21">
        <v>960</v>
      </c>
      <c r="L356" s="58">
        <v>960</v>
      </c>
      <c r="M356" s="58">
        <v>960</v>
      </c>
      <c r="N356" s="58">
        <v>960</v>
      </c>
      <c r="O356" s="65">
        <v>960</v>
      </c>
      <c r="P356" s="65">
        <v>960</v>
      </c>
    </row>
    <row r="357" spans="1:16" x14ac:dyDescent="0.3">
      <c r="A357" s="2" t="s">
        <v>279</v>
      </c>
      <c r="B357" s="1">
        <v>2000</v>
      </c>
      <c r="C357" s="3">
        <v>2000</v>
      </c>
      <c r="D357" s="3">
        <v>2000</v>
      </c>
      <c r="E357" s="4">
        <v>2000</v>
      </c>
      <c r="F357" s="1">
        <v>2000</v>
      </c>
      <c r="G357" s="40">
        <v>2000</v>
      </c>
      <c r="H357" s="18">
        <v>1259.45</v>
      </c>
      <c r="I357" s="20">
        <v>1259.45</v>
      </c>
      <c r="J357" s="21">
        <v>1259.45</v>
      </c>
      <c r="K357" s="21">
        <v>1259.45</v>
      </c>
      <c r="L357" s="21">
        <v>1259.45</v>
      </c>
      <c r="M357" s="21">
        <v>1259.45</v>
      </c>
      <c r="N357" s="58">
        <v>1259.45</v>
      </c>
      <c r="O357" s="65">
        <v>1259.45</v>
      </c>
      <c r="P357" s="65">
        <v>1259.45</v>
      </c>
    </row>
    <row r="358" spans="1:16" x14ac:dyDescent="0.3">
      <c r="A358" s="2" t="s">
        <v>280</v>
      </c>
      <c r="B358" s="1">
        <v>1500</v>
      </c>
      <c r="C358" s="3">
        <v>1500</v>
      </c>
      <c r="D358" s="3">
        <v>1500</v>
      </c>
      <c r="E358" s="4">
        <v>1500</v>
      </c>
      <c r="F358" s="1">
        <v>1500</v>
      </c>
      <c r="G358" s="40">
        <v>1500</v>
      </c>
      <c r="H358" s="18">
        <v>945</v>
      </c>
      <c r="I358" s="20">
        <v>945</v>
      </c>
      <c r="J358" s="21">
        <v>945</v>
      </c>
      <c r="K358" s="21">
        <v>945</v>
      </c>
      <c r="L358" s="58">
        <v>945</v>
      </c>
      <c r="M358" s="58">
        <v>945</v>
      </c>
      <c r="N358" s="58">
        <v>945</v>
      </c>
      <c r="O358" s="65">
        <v>945</v>
      </c>
      <c r="P358" s="65">
        <v>945</v>
      </c>
    </row>
    <row r="359" spans="1:16" x14ac:dyDescent="0.3">
      <c r="A359" s="2" t="s">
        <v>281</v>
      </c>
      <c r="B359" s="1">
        <v>1200</v>
      </c>
      <c r="C359" s="3">
        <v>1200</v>
      </c>
      <c r="D359" s="3">
        <v>1200</v>
      </c>
      <c r="E359" s="4">
        <v>1200</v>
      </c>
      <c r="F359" s="1">
        <v>1200</v>
      </c>
      <c r="G359" s="40">
        <v>1200</v>
      </c>
      <c r="H359" s="18">
        <v>756</v>
      </c>
      <c r="I359" s="20">
        <v>756</v>
      </c>
      <c r="J359" s="21">
        <v>756</v>
      </c>
      <c r="K359" s="21">
        <v>756</v>
      </c>
      <c r="L359" s="58">
        <v>756</v>
      </c>
      <c r="M359" s="58">
        <v>756</v>
      </c>
      <c r="N359" s="58">
        <v>756</v>
      </c>
      <c r="O359" s="65">
        <v>756</v>
      </c>
      <c r="P359" s="65">
        <v>756</v>
      </c>
    </row>
    <row r="360" spans="1:16" x14ac:dyDescent="0.3">
      <c r="A360" s="2" t="s">
        <v>282</v>
      </c>
      <c r="B360" s="1">
        <v>1000</v>
      </c>
      <c r="C360" s="3">
        <v>1000</v>
      </c>
      <c r="D360" s="3">
        <v>1000</v>
      </c>
      <c r="E360" s="4">
        <v>1000</v>
      </c>
      <c r="F360" s="1">
        <v>1000</v>
      </c>
      <c r="G360" s="40">
        <v>1000</v>
      </c>
      <c r="H360" s="18">
        <v>630</v>
      </c>
      <c r="I360" s="20">
        <v>630</v>
      </c>
      <c r="J360" s="21">
        <v>630</v>
      </c>
      <c r="K360" s="21">
        <v>630</v>
      </c>
      <c r="L360" s="21">
        <v>630</v>
      </c>
      <c r="M360" s="21">
        <v>630</v>
      </c>
      <c r="N360" s="58">
        <v>630</v>
      </c>
      <c r="O360" s="65">
        <v>630</v>
      </c>
      <c r="P360" s="65">
        <v>630</v>
      </c>
    </row>
    <row r="361" spans="1:16" x14ac:dyDescent="0.3">
      <c r="A361" s="2" t="s">
        <v>283</v>
      </c>
      <c r="B361" s="1">
        <v>1450</v>
      </c>
      <c r="C361" s="3">
        <v>1450</v>
      </c>
      <c r="D361" s="3">
        <v>1450</v>
      </c>
      <c r="E361" s="4">
        <v>1450</v>
      </c>
      <c r="F361" s="1">
        <v>1450</v>
      </c>
      <c r="G361" s="40">
        <v>1450</v>
      </c>
      <c r="H361" s="18">
        <v>913</v>
      </c>
      <c r="I361" s="17" t="s">
        <v>143</v>
      </c>
      <c r="J361" s="18" t="s">
        <v>143</v>
      </c>
      <c r="K361" s="18" t="s">
        <v>143</v>
      </c>
      <c r="L361" s="18" t="s">
        <v>143</v>
      </c>
      <c r="M361" s="18" t="s">
        <v>143</v>
      </c>
      <c r="N361" s="18" t="s">
        <v>143</v>
      </c>
      <c r="O361" s="65" t="s">
        <v>143</v>
      </c>
      <c r="P361" s="65"/>
    </row>
    <row r="362" spans="1:16" x14ac:dyDescent="0.3">
      <c r="A362" s="2" t="s">
        <v>284</v>
      </c>
      <c r="B362" s="1">
        <v>1450</v>
      </c>
      <c r="C362" s="3">
        <v>1450</v>
      </c>
      <c r="D362" s="3">
        <v>1450</v>
      </c>
      <c r="E362" s="4">
        <v>1450</v>
      </c>
      <c r="F362" s="1">
        <v>1450</v>
      </c>
      <c r="G362" s="40">
        <v>1450</v>
      </c>
      <c r="H362" s="18">
        <v>913.1</v>
      </c>
      <c r="I362" s="17">
        <v>913.1</v>
      </c>
      <c r="J362" s="21">
        <v>913.1</v>
      </c>
      <c r="K362" s="21">
        <v>913.1</v>
      </c>
      <c r="L362" s="58">
        <v>913.1</v>
      </c>
      <c r="M362" s="58">
        <v>913.1</v>
      </c>
      <c r="N362" s="58">
        <v>913.1</v>
      </c>
      <c r="O362" s="65">
        <v>913.1</v>
      </c>
      <c r="P362" s="65">
        <v>913.1</v>
      </c>
    </row>
    <row r="363" spans="1:16" x14ac:dyDescent="0.3">
      <c r="A363" s="2" t="s">
        <v>285</v>
      </c>
      <c r="B363" s="1">
        <v>1500</v>
      </c>
      <c r="C363" s="3">
        <v>1500</v>
      </c>
      <c r="D363" s="3">
        <v>1500</v>
      </c>
      <c r="E363" s="4">
        <v>1500</v>
      </c>
      <c r="F363" s="1">
        <v>1500</v>
      </c>
      <c r="G363" s="40">
        <v>1500</v>
      </c>
      <c r="H363" s="18">
        <v>945</v>
      </c>
      <c r="I363" s="17">
        <v>945</v>
      </c>
      <c r="J363" s="21">
        <v>945</v>
      </c>
      <c r="K363" s="21">
        <v>945</v>
      </c>
      <c r="L363" s="58">
        <v>945</v>
      </c>
      <c r="M363" s="58">
        <v>945</v>
      </c>
      <c r="N363" s="58">
        <v>945</v>
      </c>
      <c r="O363" s="65" t="s">
        <v>42</v>
      </c>
      <c r="P363" s="65"/>
    </row>
    <row r="364" spans="1:16" x14ac:dyDescent="0.3">
      <c r="A364" s="76" t="s">
        <v>326</v>
      </c>
      <c r="B364" s="1">
        <v>1600</v>
      </c>
      <c r="C364" s="3">
        <v>1600</v>
      </c>
      <c r="D364" s="3">
        <v>1600</v>
      </c>
      <c r="E364" s="4">
        <v>1600</v>
      </c>
      <c r="F364" s="1">
        <v>1600</v>
      </c>
      <c r="G364" s="40">
        <v>1600</v>
      </c>
      <c r="H364" s="18">
        <v>1006</v>
      </c>
      <c r="I364" s="17">
        <v>1006</v>
      </c>
      <c r="J364" s="21">
        <v>1006</v>
      </c>
      <c r="K364" s="21">
        <v>1006</v>
      </c>
      <c r="L364" s="58">
        <v>1006</v>
      </c>
      <c r="M364" s="58">
        <v>1006</v>
      </c>
      <c r="N364" s="58">
        <v>1006</v>
      </c>
      <c r="O364" s="65">
        <v>1006</v>
      </c>
      <c r="P364" s="65">
        <v>1006</v>
      </c>
    </row>
    <row r="365" spans="1:16" x14ac:dyDescent="0.3">
      <c r="A365" s="76" t="s">
        <v>326</v>
      </c>
      <c r="B365" s="68"/>
      <c r="C365" s="68"/>
      <c r="D365" s="68"/>
      <c r="E365" s="69"/>
      <c r="F365" s="70"/>
      <c r="G365" s="71"/>
      <c r="H365" s="72"/>
      <c r="I365" s="73"/>
      <c r="J365" s="74"/>
      <c r="K365" s="74"/>
      <c r="L365" s="75"/>
      <c r="M365" s="75"/>
      <c r="N365" s="75"/>
      <c r="O365" s="75"/>
      <c r="P365" s="75">
        <v>1100</v>
      </c>
    </row>
    <row r="366" spans="1:16" x14ac:dyDescent="0.3">
      <c r="A366" s="2" t="s">
        <v>286</v>
      </c>
      <c r="B366" s="1">
        <v>1350</v>
      </c>
      <c r="C366" s="3">
        <v>1350</v>
      </c>
      <c r="D366" s="3">
        <v>1350</v>
      </c>
      <c r="E366" s="4">
        <v>1350</v>
      </c>
      <c r="F366" s="1">
        <v>1350</v>
      </c>
      <c r="G366" s="40">
        <v>1350</v>
      </c>
      <c r="H366" s="18">
        <v>850</v>
      </c>
      <c r="I366" s="17">
        <v>850</v>
      </c>
      <c r="J366" s="21">
        <v>850</v>
      </c>
      <c r="K366" s="21">
        <v>850</v>
      </c>
      <c r="L366" s="58">
        <v>850</v>
      </c>
      <c r="M366" s="58">
        <v>850</v>
      </c>
      <c r="N366" s="58">
        <v>850</v>
      </c>
      <c r="O366" s="65">
        <v>850</v>
      </c>
      <c r="P366" s="65">
        <v>850</v>
      </c>
    </row>
    <row r="367" spans="1:16" x14ac:dyDescent="0.3">
      <c r="A367" s="76" t="s">
        <v>327</v>
      </c>
      <c r="B367" s="1">
        <v>850</v>
      </c>
      <c r="C367" s="3">
        <v>850</v>
      </c>
      <c r="D367" s="3">
        <v>1100</v>
      </c>
      <c r="E367" s="4">
        <v>1100</v>
      </c>
      <c r="F367" s="1">
        <v>1100</v>
      </c>
      <c r="G367" s="40">
        <v>1100</v>
      </c>
      <c r="H367" s="18">
        <v>693</v>
      </c>
      <c r="I367" s="17">
        <v>693</v>
      </c>
      <c r="J367" s="21">
        <v>693</v>
      </c>
      <c r="K367" s="21">
        <v>693</v>
      </c>
      <c r="L367" s="58">
        <v>693</v>
      </c>
      <c r="M367" s="58">
        <v>693</v>
      </c>
      <c r="N367" s="58">
        <v>693</v>
      </c>
      <c r="O367" s="65">
        <v>693</v>
      </c>
      <c r="P367" s="65">
        <v>750</v>
      </c>
    </row>
    <row r="368" spans="1:16" x14ac:dyDescent="0.3">
      <c r="A368" s="76" t="s">
        <v>327</v>
      </c>
      <c r="B368" s="68"/>
      <c r="C368" s="68"/>
      <c r="D368" s="68"/>
      <c r="E368" s="69"/>
      <c r="F368" s="70"/>
      <c r="G368" s="71"/>
      <c r="H368" s="72"/>
      <c r="I368" s="73"/>
      <c r="J368" s="74"/>
      <c r="K368" s="74"/>
      <c r="L368" s="75"/>
      <c r="M368" s="75"/>
      <c r="N368" s="75"/>
      <c r="O368" s="75"/>
      <c r="P368" s="75">
        <v>780</v>
      </c>
    </row>
    <row r="369" spans="1:16" x14ac:dyDescent="0.3">
      <c r="A369" s="76" t="s">
        <v>327</v>
      </c>
      <c r="B369" s="68"/>
      <c r="C369" s="68"/>
      <c r="D369" s="68"/>
      <c r="E369" s="69"/>
      <c r="F369" s="70"/>
      <c r="G369" s="71"/>
      <c r="H369" s="72"/>
      <c r="I369" s="73"/>
      <c r="J369" s="74"/>
      <c r="K369" s="74"/>
      <c r="L369" s="75"/>
      <c r="M369" s="75"/>
      <c r="N369" s="75"/>
      <c r="O369" s="75"/>
      <c r="P369" s="75">
        <v>810</v>
      </c>
    </row>
    <row r="370" spans="1:16" x14ac:dyDescent="0.3">
      <c r="A370" s="76" t="s">
        <v>327</v>
      </c>
      <c r="B370" s="68"/>
      <c r="C370" s="68"/>
      <c r="D370" s="68"/>
      <c r="E370" s="69"/>
      <c r="F370" s="70"/>
      <c r="G370" s="71"/>
      <c r="H370" s="72"/>
      <c r="I370" s="73"/>
      <c r="J370" s="74"/>
      <c r="K370" s="74"/>
      <c r="L370" s="75"/>
      <c r="M370" s="75"/>
      <c r="N370" s="75"/>
      <c r="O370" s="75"/>
      <c r="P370" s="75">
        <v>850</v>
      </c>
    </row>
    <row r="371" spans="1:16" x14ac:dyDescent="0.3">
      <c r="A371" s="2" t="s">
        <v>287</v>
      </c>
      <c r="B371" s="1">
        <v>2000</v>
      </c>
      <c r="C371" s="3">
        <v>2000</v>
      </c>
      <c r="D371" s="3">
        <v>2000</v>
      </c>
      <c r="E371" s="4">
        <v>2000</v>
      </c>
      <c r="F371" s="1">
        <v>2000</v>
      </c>
      <c r="G371" s="40">
        <v>2000</v>
      </c>
      <c r="H371" s="18">
        <v>1259</v>
      </c>
      <c r="I371" s="17">
        <v>1259</v>
      </c>
      <c r="J371" s="21">
        <v>1259</v>
      </c>
      <c r="K371" s="21">
        <v>1259</v>
      </c>
      <c r="L371" s="58">
        <v>1259</v>
      </c>
      <c r="M371" s="58">
        <v>1259</v>
      </c>
      <c r="N371" s="58">
        <v>1259</v>
      </c>
      <c r="O371" s="65">
        <v>1259</v>
      </c>
      <c r="P371" s="65">
        <v>1259</v>
      </c>
    </row>
    <row r="372" spans="1:16" x14ac:dyDescent="0.3">
      <c r="A372" s="2" t="s">
        <v>288</v>
      </c>
      <c r="B372" s="1">
        <v>1100</v>
      </c>
      <c r="C372" s="3">
        <v>1100</v>
      </c>
      <c r="D372" s="3">
        <v>1100</v>
      </c>
      <c r="E372" s="4">
        <v>1100</v>
      </c>
      <c r="F372" s="1">
        <v>1100</v>
      </c>
      <c r="G372" s="40">
        <v>1100</v>
      </c>
      <c r="H372" s="18">
        <v>692</v>
      </c>
      <c r="I372" s="17">
        <v>692</v>
      </c>
      <c r="J372" s="21">
        <v>692</v>
      </c>
      <c r="K372" s="21">
        <v>692</v>
      </c>
      <c r="L372" s="58">
        <v>692</v>
      </c>
      <c r="M372" s="58">
        <v>692</v>
      </c>
      <c r="N372" s="58">
        <v>692</v>
      </c>
      <c r="O372" s="65">
        <v>692</v>
      </c>
      <c r="P372" s="65">
        <v>692</v>
      </c>
    </row>
    <row r="373" spans="1:16" x14ac:dyDescent="0.3">
      <c r="A373" s="2" t="s">
        <v>289</v>
      </c>
      <c r="B373" s="1">
        <v>1500</v>
      </c>
      <c r="C373" s="3">
        <v>1500</v>
      </c>
      <c r="D373" s="3">
        <v>1550</v>
      </c>
      <c r="E373" s="4">
        <v>1550</v>
      </c>
      <c r="F373" s="1">
        <v>1550</v>
      </c>
      <c r="G373" s="40">
        <v>1550</v>
      </c>
      <c r="H373" s="18">
        <v>976</v>
      </c>
      <c r="I373" s="17">
        <v>976</v>
      </c>
      <c r="J373" s="21">
        <v>976</v>
      </c>
      <c r="K373" s="21">
        <v>976</v>
      </c>
      <c r="L373" s="58">
        <v>976</v>
      </c>
      <c r="M373" s="58">
        <v>976</v>
      </c>
      <c r="N373" s="58">
        <v>976</v>
      </c>
      <c r="O373" s="65">
        <v>976</v>
      </c>
      <c r="P373" s="65">
        <v>976</v>
      </c>
    </row>
    <row r="374" spans="1:16" x14ac:dyDescent="0.3">
      <c r="A374" s="76" t="s">
        <v>328</v>
      </c>
      <c r="B374" s="1">
        <v>1800</v>
      </c>
      <c r="C374" s="3">
        <v>1800</v>
      </c>
      <c r="D374" s="3">
        <v>1800</v>
      </c>
      <c r="E374" s="4">
        <v>1800</v>
      </c>
      <c r="F374" s="1">
        <v>1800</v>
      </c>
      <c r="G374" s="40">
        <v>1800</v>
      </c>
      <c r="H374" s="18">
        <v>1133.5</v>
      </c>
      <c r="I374" s="17">
        <v>1133.5</v>
      </c>
      <c r="J374" s="21">
        <v>1133.5</v>
      </c>
      <c r="K374" s="21">
        <v>1133.5</v>
      </c>
      <c r="L374" s="58">
        <v>1133.5</v>
      </c>
      <c r="M374" s="58">
        <v>1133.5</v>
      </c>
      <c r="N374" s="58">
        <v>1133.5</v>
      </c>
      <c r="O374" s="65">
        <v>1133.5</v>
      </c>
      <c r="P374" s="65">
        <v>1133.5</v>
      </c>
    </row>
    <row r="375" spans="1:16" x14ac:dyDescent="0.3">
      <c r="A375" s="76" t="s">
        <v>328</v>
      </c>
      <c r="B375" s="68"/>
      <c r="C375" s="68"/>
      <c r="D375" s="68"/>
      <c r="E375" s="69"/>
      <c r="F375" s="70"/>
      <c r="G375" s="71"/>
      <c r="H375" s="72"/>
      <c r="I375" s="73"/>
      <c r="J375" s="74"/>
      <c r="K375" s="74"/>
      <c r="L375" s="75"/>
      <c r="M375" s="75"/>
      <c r="N375" s="75"/>
      <c r="O375" s="75"/>
      <c r="P375" s="75">
        <v>1250</v>
      </c>
    </row>
    <row r="376" spans="1:16" x14ac:dyDescent="0.3">
      <c r="A376" s="2" t="s">
        <v>290</v>
      </c>
      <c r="B376" s="1">
        <v>850</v>
      </c>
      <c r="C376" s="3">
        <v>850</v>
      </c>
      <c r="D376" s="3">
        <v>850</v>
      </c>
      <c r="E376" s="4">
        <v>850</v>
      </c>
      <c r="F376" s="1">
        <v>850</v>
      </c>
      <c r="G376" s="40">
        <v>850</v>
      </c>
      <c r="H376" s="18">
        <v>535</v>
      </c>
      <c r="I376" s="17">
        <v>535</v>
      </c>
      <c r="J376" s="21">
        <v>535</v>
      </c>
      <c r="K376" s="21">
        <v>535</v>
      </c>
      <c r="L376" s="58">
        <v>535</v>
      </c>
      <c r="M376" s="58">
        <v>535</v>
      </c>
      <c r="N376" s="58">
        <v>535</v>
      </c>
      <c r="O376" s="65">
        <v>535</v>
      </c>
      <c r="P376" s="65">
        <v>602</v>
      </c>
    </row>
    <row r="377" spans="1:16" x14ac:dyDescent="0.3">
      <c r="A377" s="76" t="s">
        <v>329</v>
      </c>
      <c r="B377" s="1">
        <v>1400</v>
      </c>
      <c r="C377" s="3">
        <v>1400</v>
      </c>
      <c r="D377" s="3">
        <v>1400</v>
      </c>
      <c r="E377" s="4">
        <v>1400</v>
      </c>
      <c r="F377" s="1">
        <v>1400</v>
      </c>
      <c r="G377" s="40">
        <v>1400</v>
      </c>
      <c r="H377" s="18">
        <v>881.61</v>
      </c>
      <c r="I377" s="17">
        <v>881.61</v>
      </c>
      <c r="J377" s="21">
        <v>881.61</v>
      </c>
      <c r="K377" s="21">
        <v>881.61</v>
      </c>
      <c r="L377" s="58">
        <v>881.61</v>
      </c>
      <c r="M377" s="58">
        <v>881.61</v>
      </c>
      <c r="N377" s="58">
        <v>881.61</v>
      </c>
      <c r="O377" s="65">
        <v>881.61</v>
      </c>
      <c r="P377" s="65">
        <v>881.61</v>
      </c>
    </row>
    <row r="378" spans="1:16" x14ac:dyDescent="0.3">
      <c r="A378" s="76" t="s">
        <v>329</v>
      </c>
      <c r="B378" s="68"/>
      <c r="C378" s="68"/>
      <c r="D378" s="68"/>
      <c r="E378" s="69"/>
      <c r="F378" s="70"/>
      <c r="G378" s="71"/>
      <c r="H378" s="72"/>
      <c r="I378" s="73"/>
      <c r="J378" s="74"/>
      <c r="K378" s="74"/>
      <c r="L378" s="75"/>
      <c r="M378" s="75"/>
      <c r="N378" s="75"/>
      <c r="O378" s="75"/>
      <c r="P378" s="75">
        <v>1100</v>
      </c>
    </row>
    <row r="379" spans="1:16" x14ac:dyDescent="0.3">
      <c r="A379" s="76" t="s">
        <v>329</v>
      </c>
      <c r="B379" s="68"/>
      <c r="C379" s="68"/>
      <c r="D379" s="68"/>
      <c r="E379" s="69"/>
      <c r="F379" s="70"/>
      <c r="G379" s="71"/>
      <c r="H379" s="72"/>
      <c r="I379" s="73"/>
      <c r="J379" s="74"/>
      <c r="K379" s="74"/>
      <c r="L379" s="75"/>
      <c r="M379" s="75"/>
      <c r="N379" s="75"/>
      <c r="O379" s="75"/>
      <c r="P379" s="75">
        <v>1200</v>
      </c>
    </row>
    <row r="380" spans="1:16" x14ac:dyDescent="0.3">
      <c r="A380" s="2" t="s">
        <v>291</v>
      </c>
      <c r="B380" s="1">
        <v>1200</v>
      </c>
      <c r="C380" s="3">
        <v>1600</v>
      </c>
      <c r="D380" s="3">
        <v>1600</v>
      </c>
      <c r="E380" s="4">
        <v>1600</v>
      </c>
      <c r="F380" s="1">
        <v>1600</v>
      </c>
      <c r="G380" s="40">
        <v>1600</v>
      </c>
      <c r="H380" s="18">
        <v>1007.56</v>
      </c>
      <c r="I380" s="17">
        <v>1007.56</v>
      </c>
      <c r="J380" s="21">
        <v>1007.56</v>
      </c>
      <c r="K380" s="21">
        <v>1007.56</v>
      </c>
      <c r="L380" s="21">
        <v>1007.56</v>
      </c>
      <c r="M380" s="18">
        <v>1085</v>
      </c>
      <c r="N380" s="58">
        <v>1085</v>
      </c>
      <c r="O380" s="65">
        <v>1085</v>
      </c>
      <c r="P380" s="65">
        <v>1085</v>
      </c>
    </row>
    <row r="381" spans="1:16" x14ac:dyDescent="0.3">
      <c r="A381" s="76" t="s">
        <v>330</v>
      </c>
      <c r="B381" s="1">
        <v>1175</v>
      </c>
      <c r="C381" s="3">
        <v>1175</v>
      </c>
      <c r="D381" s="3">
        <v>1175</v>
      </c>
      <c r="E381" s="4">
        <v>1175</v>
      </c>
      <c r="F381" s="1">
        <v>1175</v>
      </c>
      <c r="G381" s="40">
        <v>1350</v>
      </c>
      <c r="H381" s="18">
        <v>850</v>
      </c>
      <c r="I381" s="17">
        <v>850</v>
      </c>
      <c r="J381" s="21">
        <v>850</v>
      </c>
      <c r="K381" s="21">
        <v>850</v>
      </c>
      <c r="L381" s="58">
        <v>850</v>
      </c>
      <c r="M381" s="58">
        <v>850</v>
      </c>
      <c r="N381" s="58">
        <v>850</v>
      </c>
      <c r="O381" s="65">
        <v>850</v>
      </c>
      <c r="P381" s="65">
        <v>850</v>
      </c>
    </row>
    <row r="382" spans="1:16" x14ac:dyDescent="0.3">
      <c r="A382" s="76" t="s">
        <v>330</v>
      </c>
      <c r="B382" s="68"/>
      <c r="C382" s="68"/>
      <c r="D382" s="68"/>
      <c r="E382" s="69"/>
      <c r="F382" s="70"/>
      <c r="G382" s="71"/>
      <c r="H382" s="72"/>
      <c r="I382" s="73"/>
      <c r="J382" s="74"/>
      <c r="K382" s="74"/>
      <c r="L382" s="75"/>
      <c r="M382" s="75"/>
      <c r="N382" s="75"/>
      <c r="O382" s="75"/>
      <c r="P382" s="75">
        <v>892.5</v>
      </c>
    </row>
    <row r="383" spans="1:16" x14ac:dyDescent="0.3">
      <c r="A383" s="76" t="s">
        <v>330</v>
      </c>
      <c r="B383" s="68"/>
      <c r="C383" s="68"/>
      <c r="D383" s="68"/>
      <c r="E383" s="69"/>
      <c r="F383" s="70"/>
      <c r="G383" s="71"/>
      <c r="H383" s="72"/>
      <c r="I383" s="73"/>
      <c r="J383" s="74"/>
      <c r="K383" s="74"/>
      <c r="L383" s="75"/>
      <c r="M383" s="75"/>
      <c r="N383" s="75"/>
      <c r="O383" s="75"/>
      <c r="P383" s="75">
        <v>935</v>
      </c>
    </row>
    <row r="384" spans="1:16" x14ac:dyDescent="0.3">
      <c r="A384" s="76" t="s">
        <v>330</v>
      </c>
      <c r="B384" s="68"/>
      <c r="C384" s="68"/>
      <c r="D384" s="68"/>
      <c r="E384" s="69"/>
      <c r="F384" s="70"/>
      <c r="G384" s="71"/>
      <c r="H384" s="72"/>
      <c r="I384" s="73"/>
      <c r="J384" s="74"/>
      <c r="K384" s="74"/>
      <c r="L384" s="75"/>
      <c r="M384" s="75"/>
      <c r="N384" s="75"/>
      <c r="O384" s="75"/>
      <c r="P384" s="75">
        <v>956.25</v>
      </c>
    </row>
    <row r="385" spans="1:16" x14ac:dyDescent="0.3">
      <c r="A385" s="76" t="s">
        <v>330</v>
      </c>
      <c r="B385" s="68"/>
      <c r="C385" s="68"/>
      <c r="D385" s="68"/>
      <c r="E385" s="69"/>
      <c r="F385" s="70"/>
      <c r="G385" s="71"/>
      <c r="H385" s="72"/>
      <c r="I385" s="73"/>
      <c r="J385" s="74"/>
      <c r="K385" s="74"/>
      <c r="L385" s="75"/>
      <c r="M385" s="75"/>
      <c r="N385" s="75"/>
      <c r="O385" s="75"/>
      <c r="P385" s="75">
        <v>980.07</v>
      </c>
    </row>
    <row r="386" spans="1:16" x14ac:dyDescent="0.3">
      <c r="A386" s="76" t="s">
        <v>331</v>
      </c>
      <c r="B386" s="1">
        <v>1600</v>
      </c>
      <c r="C386" s="3">
        <v>1575</v>
      </c>
      <c r="D386" s="3">
        <v>1575</v>
      </c>
      <c r="E386" s="4">
        <v>1575</v>
      </c>
      <c r="F386" s="1">
        <v>1575</v>
      </c>
      <c r="G386" s="40">
        <v>1575</v>
      </c>
      <c r="H386" s="18">
        <v>992</v>
      </c>
      <c r="I386" s="17">
        <v>992</v>
      </c>
      <c r="J386" s="21">
        <v>992</v>
      </c>
      <c r="K386" s="21">
        <v>992</v>
      </c>
      <c r="L386" s="58">
        <v>992</v>
      </c>
      <c r="M386" s="58">
        <v>992</v>
      </c>
      <c r="N386" s="58">
        <v>992</v>
      </c>
      <c r="O386" s="65">
        <v>992</v>
      </c>
      <c r="P386" s="65">
        <v>992</v>
      </c>
    </row>
    <row r="387" spans="1:16" x14ac:dyDescent="0.3">
      <c r="A387" s="76" t="s">
        <v>331</v>
      </c>
      <c r="B387" s="68"/>
      <c r="C387" s="68"/>
      <c r="D387" s="68"/>
      <c r="E387" s="69"/>
      <c r="F387" s="70"/>
      <c r="G387" s="71"/>
      <c r="H387" s="72"/>
      <c r="I387" s="73"/>
      <c r="J387" s="74"/>
      <c r="K387" s="74"/>
      <c r="L387" s="75"/>
      <c r="M387" s="75"/>
      <c r="N387" s="75"/>
      <c r="O387" s="75"/>
      <c r="P387" s="75">
        <v>1170.56</v>
      </c>
    </row>
    <row r="388" spans="1:16" x14ac:dyDescent="0.3">
      <c r="A388" s="76" t="s">
        <v>331</v>
      </c>
      <c r="B388" s="68"/>
      <c r="C388" s="68"/>
      <c r="D388" s="68"/>
      <c r="E388" s="69"/>
      <c r="F388" s="70"/>
      <c r="G388" s="71"/>
      <c r="H388" s="72"/>
      <c r="I388" s="73"/>
      <c r="J388" s="74"/>
      <c r="K388" s="74"/>
      <c r="L388" s="75"/>
      <c r="M388" s="75"/>
      <c r="N388" s="75"/>
      <c r="O388" s="75"/>
      <c r="P388" s="75">
        <v>1249.92</v>
      </c>
    </row>
    <row r="389" spans="1:16" x14ac:dyDescent="0.3">
      <c r="A389" s="76" t="s">
        <v>331</v>
      </c>
      <c r="B389" s="68"/>
      <c r="C389" s="68"/>
      <c r="D389" s="68"/>
      <c r="E389" s="69"/>
      <c r="F389" s="70"/>
      <c r="G389" s="71"/>
      <c r="H389" s="72"/>
      <c r="I389" s="73"/>
      <c r="J389" s="74"/>
      <c r="K389" s="74"/>
      <c r="L389" s="75"/>
      <c r="M389" s="75"/>
      <c r="N389" s="75"/>
      <c r="O389" s="75"/>
      <c r="P389" s="75">
        <v>1299.52</v>
      </c>
    </row>
    <row r="390" spans="1:16" x14ac:dyDescent="0.3">
      <c r="A390" s="76" t="s">
        <v>331</v>
      </c>
      <c r="B390" s="68"/>
      <c r="C390" s="68"/>
      <c r="D390" s="68"/>
      <c r="E390" s="69"/>
      <c r="F390" s="70"/>
      <c r="G390" s="71"/>
      <c r="H390" s="72"/>
      <c r="I390" s="73"/>
      <c r="J390" s="74"/>
      <c r="K390" s="74"/>
      <c r="L390" s="75"/>
      <c r="M390" s="75"/>
      <c r="N390" s="75"/>
      <c r="O390" s="75"/>
      <c r="P390" s="75">
        <v>1401.2</v>
      </c>
    </row>
    <row r="391" spans="1:16" x14ac:dyDescent="0.3">
      <c r="A391" s="2" t="s">
        <v>292</v>
      </c>
      <c r="B391" s="1">
        <v>1600</v>
      </c>
      <c r="C391" s="3">
        <v>1600</v>
      </c>
      <c r="D391" s="3">
        <v>1600</v>
      </c>
      <c r="E391" s="4">
        <v>1600</v>
      </c>
      <c r="F391" s="1">
        <v>1600</v>
      </c>
      <c r="G391" s="40">
        <v>1600</v>
      </c>
      <c r="H391" s="18">
        <v>1008</v>
      </c>
      <c r="I391" s="17">
        <v>1008</v>
      </c>
      <c r="J391" s="21">
        <v>1008</v>
      </c>
      <c r="K391" s="21">
        <v>1008</v>
      </c>
      <c r="L391" s="58">
        <v>1008</v>
      </c>
      <c r="M391" s="58">
        <v>1008</v>
      </c>
      <c r="N391" s="58">
        <v>1008</v>
      </c>
      <c r="O391" s="65">
        <v>1008</v>
      </c>
      <c r="P391" s="65">
        <v>1008</v>
      </c>
    </row>
    <row r="392" spans="1:16" x14ac:dyDescent="0.3">
      <c r="A392" s="76" t="s">
        <v>332</v>
      </c>
      <c r="B392" s="1">
        <v>700</v>
      </c>
      <c r="C392" s="3">
        <v>700</v>
      </c>
      <c r="D392" s="3">
        <v>1000</v>
      </c>
      <c r="E392" s="4">
        <v>1000</v>
      </c>
      <c r="F392" s="1">
        <v>1000</v>
      </c>
      <c r="G392" s="40">
        <v>1000</v>
      </c>
      <c r="H392" s="18">
        <v>630</v>
      </c>
      <c r="I392" s="17">
        <v>630</v>
      </c>
      <c r="J392" s="21">
        <v>630</v>
      </c>
      <c r="K392" s="21">
        <v>630</v>
      </c>
      <c r="L392" s="58">
        <v>630</v>
      </c>
      <c r="M392" s="58">
        <v>630</v>
      </c>
      <c r="N392" s="58">
        <v>630</v>
      </c>
      <c r="O392" s="65">
        <v>630</v>
      </c>
      <c r="P392" s="65">
        <v>760</v>
      </c>
    </row>
    <row r="393" spans="1:16" x14ac:dyDescent="0.3">
      <c r="A393" s="76" t="s">
        <v>332</v>
      </c>
      <c r="B393" s="68"/>
      <c r="C393" s="68"/>
      <c r="D393" s="68"/>
      <c r="E393" s="69"/>
      <c r="F393" s="70"/>
      <c r="G393" s="71"/>
      <c r="H393" s="72"/>
      <c r="I393" s="73"/>
      <c r="J393" s="74"/>
      <c r="K393" s="74"/>
      <c r="L393" s="75"/>
      <c r="M393" s="75"/>
      <c r="N393" s="75"/>
      <c r="O393" s="75"/>
      <c r="P393" s="75">
        <v>890</v>
      </c>
    </row>
    <row r="394" spans="1:16" x14ac:dyDescent="0.3">
      <c r="A394" s="2" t="s">
        <v>293</v>
      </c>
      <c r="B394" s="1">
        <v>1400</v>
      </c>
      <c r="C394" s="3">
        <v>1400</v>
      </c>
      <c r="D394" s="3">
        <v>1400</v>
      </c>
      <c r="E394" s="4">
        <v>1400</v>
      </c>
      <c r="F394" s="1">
        <v>1400</v>
      </c>
      <c r="G394" s="40">
        <v>1400</v>
      </c>
      <c r="H394" s="18">
        <v>882</v>
      </c>
      <c r="I394" s="17">
        <v>882</v>
      </c>
      <c r="J394" s="21">
        <v>882</v>
      </c>
      <c r="K394" s="21">
        <v>882</v>
      </c>
      <c r="L394" s="58">
        <v>882</v>
      </c>
      <c r="M394" s="58">
        <v>882</v>
      </c>
      <c r="N394" s="58">
        <v>882</v>
      </c>
      <c r="O394" s="65">
        <v>882</v>
      </c>
      <c r="P394" s="65">
        <v>882</v>
      </c>
    </row>
    <row r="395" spans="1:16" x14ac:dyDescent="0.3">
      <c r="A395" s="2" t="s">
        <v>294</v>
      </c>
      <c r="B395" s="1">
        <v>1175</v>
      </c>
      <c r="C395" s="3">
        <v>1175</v>
      </c>
      <c r="D395" s="3">
        <v>1175</v>
      </c>
      <c r="E395" s="4">
        <v>1175</v>
      </c>
      <c r="F395" s="1">
        <v>1175</v>
      </c>
      <c r="G395" s="40">
        <v>1175</v>
      </c>
      <c r="H395" s="18">
        <v>740</v>
      </c>
      <c r="I395" s="17">
        <v>740</v>
      </c>
      <c r="J395" s="21">
        <v>740</v>
      </c>
      <c r="K395" s="21">
        <v>740</v>
      </c>
      <c r="L395" s="58">
        <v>740</v>
      </c>
      <c r="M395" s="58">
        <v>740</v>
      </c>
      <c r="N395" s="58">
        <v>740</v>
      </c>
      <c r="O395" s="65">
        <v>740</v>
      </c>
      <c r="P395" s="65">
        <v>740</v>
      </c>
    </row>
    <row r="396" spans="1:16" x14ac:dyDescent="0.3">
      <c r="A396" s="2" t="s">
        <v>295</v>
      </c>
      <c r="B396" s="1">
        <v>975</v>
      </c>
      <c r="C396" s="3">
        <v>975</v>
      </c>
      <c r="D396" s="3">
        <v>975</v>
      </c>
      <c r="E396" s="4">
        <v>975</v>
      </c>
      <c r="F396" s="1">
        <v>975</v>
      </c>
      <c r="G396" s="40">
        <v>975</v>
      </c>
      <c r="H396" s="18">
        <v>614</v>
      </c>
      <c r="I396" s="17">
        <v>614</v>
      </c>
      <c r="J396" s="21">
        <v>614</v>
      </c>
      <c r="K396" s="21">
        <v>614</v>
      </c>
      <c r="L396" s="58">
        <v>614</v>
      </c>
      <c r="M396" s="58">
        <v>614</v>
      </c>
      <c r="N396" s="58">
        <v>614</v>
      </c>
      <c r="O396" s="65">
        <v>614</v>
      </c>
      <c r="P396" s="65">
        <v>674</v>
      </c>
    </row>
    <row r="397" spans="1:16" x14ac:dyDescent="0.3">
      <c r="A397" s="2" t="s">
        <v>296</v>
      </c>
      <c r="B397" s="1">
        <v>750</v>
      </c>
      <c r="C397" s="3">
        <v>750</v>
      </c>
      <c r="D397" s="3">
        <v>750</v>
      </c>
      <c r="E397" s="4">
        <v>750</v>
      </c>
      <c r="F397" s="1">
        <v>750</v>
      </c>
      <c r="G397" s="40">
        <v>750</v>
      </c>
      <c r="H397" s="18">
        <v>472</v>
      </c>
      <c r="I397" s="17">
        <v>472</v>
      </c>
      <c r="J397" s="21">
        <v>472</v>
      </c>
      <c r="K397" s="21">
        <v>472</v>
      </c>
      <c r="L397" s="58">
        <v>472</v>
      </c>
      <c r="M397" s="58">
        <v>472</v>
      </c>
      <c r="N397" s="58">
        <v>472</v>
      </c>
      <c r="O397" s="65">
        <v>472</v>
      </c>
      <c r="P397" s="65">
        <v>472</v>
      </c>
    </row>
    <row r="398" spans="1:16" x14ac:dyDescent="0.3">
      <c r="A398" s="2" t="s">
        <v>297</v>
      </c>
      <c r="B398" s="1">
        <v>1500</v>
      </c>
      <c r="C398" s="3">
        <v>1500</v>
      </c>
      <c r="D398" s="3">
        <v>1500</v>
      </c>
      <c r="E398" s="4">
        <v>1500</v>
      </c>
      <c r="F398" s="1">
        <v>1500</v>
      </c>
      <c r="G398" s="40">
        <v>1500</v>
      </c>
      <c r="H398" s="18">
        <v>945</v>
      </c>
      <c r="I398" s="20">
        <v>945</v>
      </c>
      <c r="J398" s="21">
        <v>945</v>
      </c>
      <c r="K398" s="21">
        <v>945</v>
      </c>
      <c r="L398" s="58">
        <v>945</v>
      </c>
      <c r="M398" s="58">
        <v>945</v>
      </c>
      <c r="N398" s="58">
        <v>945</v>
      </c>
      <c r="O398" s="65">
        <v>945</v>
      </c>
      <c r="P398" s="65">
        <v>945</v>
      </c>
    </row>
    <row r="399" spans="1:16" x14ac:dyDescent="0.3">
      <c r="A399" s="76" t="s">
        <v>333</v>
      </c>
      <c r="B399" s="1">
        <v>1150</v>
      </c>
      <c r="C399" s="3">
        <v>1150</v>
      </c>
      <c r="D399" s="3">
        <v>1400</v>
      </c>
      <c r="E399" s="4">
        <v>1400</v>
      </c>
      <c r="F399" s="1">
        <v>1400</v>
      </c>
      <c r="G399" s="40">
        <v>1400</v>
      </c>
      <c r="H399" s="18">
        <v>870</v>
      </c>
      <c r="I399" s="20">
        <v>870</v>
      </c>
      <c r="J399" s="21">
        <v>870</v>
      </c>
      <c r="K399" s="21">
        <v>870</v>
      </c>
      <c r="L399" s="21">
        <v>870</v>
      </c>
      <c r="M399" s="21">
        <v>870</v>
      </c>
      <c r="N399" s="58">
        <v>870</v>
      </c>
      <c r="O399" s="65">
        <v>870</v>
      </c>
      <c r="P399" s="65">
        <v>870</v>
      </c>
    </row>
    <row r="400" spans="1:16" x14ac:dyDescent="0.3">
      <c r="A400" s="76" t="s">
        <v>333</v>
      </c>
      <c r="B400" s="68"/>
      <c r="C400" s="68"/>
      <c r="D400" s="68"/>
      <c r="E400" s="69"/>
      <c r="F400" s="70"/>
      <c r="G400" s="71"/>
      <c r="H400" s="72"/>
      <c r="I400" s="73"/>
      <c r="J400" s="74"/>
      <c r="K400" s="74"/>
      <c r="L400" s="74"/>
      <c r="M400" s="74"/>
      <c r="N400" s="75"/>
      <c r="O400" s="75"/>
      <c r="P400" s="75">
        <v>957</v>
      </c>
    </row>
    <row r="401" spans="1:16" x14ac:dyDescent="0.3">
      <c r="A401" s="76" t="s">
        <v>333</v>
      </c>
      <c r="B401" s="68"/>
      <c r="C401" s="68"/>
      <c r="D401" s="68"/>
      <c r="E401" s="69"/>
      <c r="F401" s="70"/>
      <c r="G401" s="71"/>
      <c r="H401" s="72"/>
      <c r="I401" s="73"/>
      <c r="J401" s="74"/>
      <c r="K401" s="74"/>
      <c r="L401" s="74"/>
      <c r="M401" s="74"/>
      <c r="N401" s="75"/>
      <c r="O401" s="75"/>
      <c r="P401" s="75">
        <v>1000.5</v>
      </c>
    </row>
    <row r="402" spans="1:16" x14ac:dyDescent="0.3">
      <c r="A402" s="76" t="s">
        <v>333</v>
      </c>
      <c r="B402" s="68"/>
      <c r="C402" s="68"/>
      <c r="D402" s="68"/>
      <c r="E402" s="69"/>
      <c r="F402" s="70"/>
      <c r="G402" s="71"/>
      <c r="H402" s="72"/>
      <c r="I402" s="73"/>
      <c r="J402" s="74"/>
      <c r="K402" s="74"/>
      <c r="L402" s="74"/>
      <c r="M402" s="74"/>
      <c r="N402" s="75"/>
      <c r="O402" s="75"/>
      <c r="P402" s="75">
        <v>1087.5</v>
      </c>
    </row>
    <row r="403" spans="1:16" x14ac:dyDescent="0.3">
      <c r="A403" s="76" t="s">
        <v>333</v>
      </c>
      <c r="B403" s="68"/>
      <c r="C403" s="68"/>
      <c r="D403" s="68"/>
      <c r="E403" s="69"/>
      <c r="F403" s="70"/>
      <c r="G403" s="71"/>
      <c r="H403" s="72"/>
      <c r="I403" s="73"/>
      <c r="J403" s="74"/>
      <c r="K403" s="74"/>
      <c r="L403" s="74"/>
      <c r="M403" s="74"/>
      <c r="N403" s="75"/>
      <c r="O403" s="75"/>
      <c r="P403" s="75">
        <v>1142.8699999999999</v>
      </c>
    </row>
    <row r="404" spans="1:16" x14ac:dyDescent="0.3">
      <c r="A404" s="2" t="s">
        <v>298</v>
      </c>
      <c r="B404" s="1">
        <v>1450</v>
      </c>
      <c r="C404" s="3">
        <v>1450</v>
      </c>
      <c r="D404" s="3">
        <v>1450</v>
      </c>
      <c r="E404" s="4">
        <v>1450</v>
      </c>
      <c r="F404" s="1">
        <v>1450</v>
      </c>
      <c r="G404" s="40">
        <v>1450</v>
      </c>
      <c r="H404" s="18">
        <v>913.1</v>
      </c>
      <c r="I404" s="20">
        <v>913.1</v>
      </c>
      <c r="J404" s="21">
        <v>913.1</v>
      </c>
      <c r="K404" s="21">
        <v>913.1</v>
      </c>
      <c r="L404" s="58">
        <v>913.1</v>
      </c>
      <c r="M404" s="58">
        <v>913.1</v>
      </c>
      <c r="N404" s="58">
        <v>913.1</v>
      </c>
      <c r="O404" s="65">
        <v>913.1</v>
      </c>
      <c r="P404" s="65">
        <v>913.1</v>
      </c>
    </row>
    <row r="405" spans="1:16" x14ac:dyDescent="0.3">
      <c r="A405" s="2" t="s">
        <v>299</v>
      </c>
      <c r="B405" s="1">
        <v>1100</v>
      </c>
      <c r="C405" s="3">
        <v>1100</v>
      </c>
      <c r="D405" s="3">
        <v>1100</v>
      </c>
      <c r="E405" s="4">
        <v>1100</v>
      </c>
      <c r="F405" s="1">
        <v>1100</v>
      </c>
      <c r="G405" s="40">
        <v>1100</v>
      </c>
      <c r="H405" s="18">
        <v>693</v>
      </c>
      <c r="I405" s="20">
        <v>693</v>
      </c>
      <c r="J405" s="21">
        <v>693</v>
      </c>
      <c r="K405" s="21">
        <v>693</v>
      </c>
      <c r="L405" s="58">
        <v>693</v>
      </c>
      <c r="M405" s="58">
        <v>693</v>
      </c>
      <c r="N405" s="58">
        <v>693</v>
      </c>
      <c r="O405" s="65">
        <v>693</v>
      </c>
      <c r="P405" s="65">
        <v>850</v>
      </c>
    </row>
    <row r="406" spans="1:16" x14ac:dyDescent="0.3">
      <c r="A406" s="2" t="s">
        <v>300</v>
      </c>
      <c r="B406" s="1">
        <v>1425</v>
      </c>
      <c r="C406" s="3">
        <v>1425</v>
      </c>
      <c r="D406" s="3">
        <v>1425</v>
      </c>
      <c r="E406" s="4">
        <v>1425</v>
      </c>
      <c r="F406" s="1">
        <v>1425</v>
      </c>
      <c r="G406" s="40">
        <v>1425</v>
      </c>
      <c r="H406" s="18">
        <v>693</v>
      </c>
      <c r="I406" s="17" t="s">
        <v>143</v>
      </c>
      <c r="J406" s="18" t="s">
        <v>143</v>
      </c>
      <c r="K406" s="18" t="s">
        <v>143</v>
      </c>
      <c r="L406" s="18" t="s">
        <v>143</v>
      </c>
      <c r="M406" s="18" t="s">
        <v>143</v>
      </c>
      <c r="N406" s="18" t="s">
        <v>143</v>
      </c>
      <c r="O406" s="65" t="s">
        <v>143</v>
      </c>
      <c r="P406" s="65"/>
    </row>
    <row r="407" spans="1:16" x14ac:dyDescent="0.3">
      <c r="A407" s="2" t="s">
        <v>301</v>
      </c>
      <c r="B407" s="1">
        <v>935</v>
      </c>
      <c r="C407" s="3">
        <v>935</v>
      </c>
      <c r="D407" s="3">
        <v>935</v>
      </c>
      <c r="E407" s="4">
        <v>935</v>
      </c>
      <c r="F407" s="1">
        <v>935</v>
      </c>
      <c r="G407" s="40">
        <v>935</v>
      </c>
      <c r="H407" s="18">
        <v>589</v>
      </c>
      <c r="I407" s="20">
        <v>589</v>
      </c>
      <c r="J407" s="21">
        <v>589</v>
      </c>
      <c r="K407" s="21">
        <v>589</v>
      </c>
      <c r="L407" s="58">
        <v>589</v>
      </c>
      <c r="M407" s="58">
        <v>589</v>
      </c>
      <c r="N407" s="58">
        <v>589</v>
      </c>
      <c r="O407" s="65">
        <v>589</v>
      </c>
      <c r="P407" s="65">
        <v>589</v>
      </c>
    </row>
    <row r="408" spans="1:16" x14ac:dyDescent="0.3">
      <c r="A408" s="2" t="s">
        <v>302</v>
      </c>
      <c r="B408" s="1">
        <v>1375</v>
      </c>
      <c r="C408" s="3">
        <v>1675</v>
      </c>
      <c r="D408" s="3">
        <v>1675</v>
      </c>
      <c r="E408" s="4">
        <v>1675</v>
      </c>
      <c r="F408" s="1">
        <v>1675</v>
      </c>
      <c r="G408" s="40">
        <v>1675</v>
      </c>
      <c r="H408" s="18">
        <v>866</v>
      </c>
      <c r="I408" s="17" t="s">
        <v>143</v>
      </c>
      <c r="J408" s="18" t="s">
        <v>143</v>
      </c>
      <c r="K408" s="18" t="s">
        <v>143</v>
      </c>
      <c r="L408" s="18" t="s">
        <v>143</v>
      </c>
      <c r="M408" s="18" t="s">
        <v>143</v>
      </c>
      <c r="N408" s="18" t="s">
        <v>143</v>
      </c>
      <c r="O408" s="65" t="s">
        <v>143</v>
      </c>
      <c r="P408" s="65"/>
    </row>
    <row r="409" spans="1:16" x14ac:dyDescent="0.3">
      <c r="A409" s="2" t="s">
        <v>303</v>
      </c>
      <c r="B409" s="1">
        <v>1350</v>
      </c>
      <c r="C409" s="3">
        <v>1350</v>
      </c>
      <c r="D409" s="3">
        <v>1350</v>
      </c>
      <c r="E409" s="4">
        <v>1350</v>
      </c>
      <c r="F409" s="1">
        <v>1350</v>
      </c>
      <c r="G409" s="40">
        <v>1350</v>
      </c>
      <c r="H409" s="18">
        <v>850</v>
      </c>
      <c r="I409" s="17">
        <v>850</v>
      </c>
      <c r="J409" s="21">
        <v>850</v>
      </c>
      <c r="K409" s="21">
        <v>850</v>
      </c>
      <c r="L409" s="58">
        <v>850</v>
      </c>
      <c r="M409" s="58">
        <v>850</v>
      </c>
      <c r="N409" s="58">
        <v>850</v>
      </c>
      <c r="O409" s="65">
        <v>850</v>
      </c>
      <c r="P409" s="65">
        <v>850</v>
      </c>
    </row>
    <row r="410" spans="1:16" x14ac:dyDescent="0.3">
      <c r="A410" s="2" t="s">
        <v>304</v>
      </c>
      <c r="B410" s="1">
        <v>1900</v>
      </c>
      <c r="C410" s="3">
        <v>1900</v>
      </c>
      <c r="D410" s="3">
        <v>1900</v>
      </c>
      <c r="E410" s="4">
        <v>1900</v>
      </c>
      <c r="F410" s="1">
        <v>1900</v>
      </c>
      <c r="G410" s="40">
        <v>1900</v>
      </c>
      <c r="H410" s="18">
        <v>1196</v>
      </c>
      <c r="I410" s="17">
        <v>1196</v>
      </c>
      <c r="J410" s="21">
        <v>1196</v>
      </c>
      <c r="K410" s="21">
        <v>1196</v>
      </c>
      <c r="L410" s="58">
        <v>1196</v>
      </c>
      <c r="M410" s="58">
        <v>1196</v>
      </c>
      <c r="N410" s="58">
        <v>1196</v>
      </c>
      <c r="O410" s="65">
        <v>1196</v>
      </c>
      <c r="P410" s="65">
        <v>1196</v>
      </c>
    </row>
    <row r="411" spans="1:16" x14ac:dyDescent="0.3">
      <c r="A411" s="2" t="s">
        <v>305</v>
      </c>
      <c r="B411" s="1">
        <v>1600</v>
      </c>
      <c r="C411" s="3">
        <v>1600</v>
      </c>
      <c r="D411" s="3">
        <v>1700</v>
      </c>
      <c r="E411" s="4">
        <v>1700</v>
      </c>
      <c r="F411" s="1">
        <v>1700</v>
      </c>
      <c r="G411" s="40">
        <v>1700</v>
      </c>
      <c r="H411" s="18">
        <v>1070</v>
      </c>
      <c r="I411" s="17">
        <v>1070</v>
      </c>
      <c r="J411" s="21">
        <v>1070</v>
      </c>
      <c r="K411" s="21">
        <v>1070</v>
      </c>
      <c r="L411" s="58">
        <v>1070</v>
      </c>
      <c r="M411" s="58">
        <v>1070</v>
      </c>
      <c r="N411" s="58">
        <v>1070</v>
      </c>
      <c r="O411" s="65">
        <v>1070</v>
      </c>
      <c r="P411" s="65">
        <v>1070</v>
      </c>
    </row>
    <row r="412" spans="1:16" x14ac:dyDescent="0.3">
      <c r="A412" s="2" t="s">
        <v>306</v>
      </c>
      <c r="B412" s="1">
        <v>1400</v>
      </c>
      <c r="C412" s="3">
        <v>1500</v>
      </c>
      <c r="D412" s="3">
        <v>1500</v>
      </c>
      <c r="E412" s="4">
        <v>1500</v>
      </c>
      <c r="F412" s="1">
        <v>1500</v>
      </c>
      <c r="G412" s="40">
        <v>1500</v>
      </c>
      <c r="H412" s="18">
        <v>945</v>
      </c>
      <c r="I412" s="17">
        <v>945</v>
      </c>
      <c r="J412" s="21">
        <v>945</v>
      </c>
      <c r="K412" s="21">
        <v>945</v>
      </c>
      <c r="L412" s="58">
        <v>945</v>
      </c>
      <c r="M412" s="58">
        <v>945</v>
      </c>
      <c r="N412" s="58">
        <v>945</v>
      </c>
      <c r="O412" s="65">
        <v>945</v>
      </c>
      <c r="P412" s="65">
        <v>945</v>
      </c>
    </row>
    <row r="413" spans="1:16" x14ac:dyDescent="0.3">
      <c r="A413" s="2" t="s">
        <v>307</v>
      </c>
      <c r="B413" s="1">
        <v>1800</v>
      </c>
      <c r="C413" s="3">
        <v>1800</v>
      </c>
      <c r="D413" s="3">
        <v>1800</v>
      </c>
      <c r="E413" s="4">
        <v>1800</v>
      </c>
      <c r="F413" s="1">
        <v>1800</v>
      </c>
      <c r="G413" s="40">
        <v>1800</v>
      </c>
      <c r="H413" s="18">
        <v>1133.5</v>
      </c>
      <c r="I413" s="17">
        <v>1133.5</v>
      </c>
      <c r="J413" s="21">
        <v>1133.5</v>
      </c>
      <c r="K413" s="21">
        <v>1133.5</v>
      </c>
      <c r="L413" s="58">
        <v>1133.5</v>
      </c>
      <c r="M413" s="58">
        <v>1133.5</v>
      </c>
      <c r="N413" s="58">
        <v>1133.5</v>
      </c>
      <c r="O413" s="65">
        <v>1133.5</v>
      </c>
      <c r="P413" s="65">
        <v>1133.5</v>
      </c>
    </row>
    <row r="414" spans="1:16" x14ac:dyDescent="0.3">
      <c r="A414" s="2" t="s">
        <v>308</v>
      </c>
      <c r="B414" s="1">
        <v>1000</v>
      </c>
      <c r="C414" s="3">
        <v>1000</v>
      </c>
      <c r="D414" s="3">
        <v>1000</v>
      </c>
      <c r="E414" s="4">
        <v>1000</v>
      </c>
      <c r="F414" s="1">
        <v>1000</v>
      </c>
      <c r="G414" s="40">
        <v>1000</v>
      </c>
      <c r="H414" s="18">
        <v>629.72</v>
      </c>
      <c r="I414" s="17">
        <v>629.72</v>
      </c>
      <c r="J414" s="21">
        <v>875</v>
      </c>
      <c r="K414" s="21">
        <v>875</v>
      </c>
      <c r="L414" s="58">
        <v>875</v>
      </c>
      <c r="M414" s="58">
        <v>875</v>
      </c>
      <c r="N414" s="58">
        <v>875</v>
      </c>
      <c r="O414" s="65">
        <v>875</v>
      </c>
      <c r="P414" s="65">
        <v>875</v>
      </c>
    </row>
    <row r="415" spans="1:16" x14ac:dyDescent="0.3">
      <c r="A415" s="2" t="s">
        <v>309</v>
      </c>
      <c r="B415" s="1">
        <v>1300</v>
      </c>
      <c r="C415" s="3">
        <v>1250</v>
      </c>
      <c r="D415" s="3">
        <v>1250</v>
      </c>
      <c r="E415" s="4">
        <v>1250</v>
      </c>
      <c r="F415" s="1">
        <v>1250</v>
      </c>
      <c r="G415" s="40">
        <v>1250</v>
      </c>
      <c r="H415" s="18">
        <v>788</v>
      </c>
      <c r="I415" s="17">
        <v>788</v>
      </c>
      <c r="J415" s="21">
        <v>788</v>
      </c>
      <c r="K415" s="21">
        <v>788</v>
      </c>
      <c r="L415" s="58">
        <v>788</v>
      </c>
      <c r="M415" s="58">
        <v>788</v>
      </c>
      <c r="N415" s="58">
        <v>788</v>
      </c>
      <c r="O415" s="65">
        <v>788</v>
      </c>
      <c r="P415" s="65">
        <v>788</v>
      </c>
    </row>
    <row r="416" spans="1:16" x14ac:dyDescent="0.3">
      <c r="A416" s="2" t="s">
        <v>310</v>
      </c>
      <c r="B416" s="1">
        <v>1300</v>
      </c>
      <c r="C416" s="3">
        <v>1300</v>
      </c>
      <c r="D416" s="3">
        <v>1300</v>
      </c>
      <c r="E416" s="4">
        <v>1300</v>
      </c>
      <c r="F416" s="1">
        <v>1300</v>
      </c>
      <c r="G416" s="40">
        <v>1300</v>
      </c>
      <c r="H416" s="18">
        <v>819</v>
      </c>
      <c r="I416" s="17">
        <v>819</v>
      </c>
      <c r="J416" s="21">
        <v>819</v>
      </c>
      <c r="K416" s="21">
        <v>819</v>
      </c>
      <c r="L416" s="58">
        <v>819</v>
      </c>
      <c r="M416" s="58">
        <v>819</v>
      </c>
      <c r="N416" s="58">
        <v>819</v>
      </c>
      <c r="O416" s="65">
        <v>819</v>
      </c>
      <c r="P416" s="65">
        <v>819</v>
      </c>
    </row>
    <row r="417" spans="1:16" x14ac:dyDescent="0.3">
      <c r="A417" s="2" t="s">
        <v>311</v>
      </c>
      <c r="B417" s="1">
        <v>1950</v>
      </c>
      <c r="C417" s="3">
        <v>1950</v>
      </c>
      <c r="D417" s="3">
        <v>1950</v>
      </c>
      <c r="E417" s="4">
        <v>1950</v>
      </c>
      <c r="F417" s="1">
        <v>1950</v>
      </c>
      <c r="G417" s="40">
        <v>1950</v>
      </c>
      <c r="H417" s="18">
        <v>1228</v>
      </c>
      <c r="I417" s="17">
        <v>1228</v>
      </c>
      <c r="J417" s="21">
        <v>1228</v>
      </c>
      <c r="K417" s="21">
        <v>1228</v>
      </c>
      <c r="L417" s="58">
        <v>1228</v>
      </c>
      <c r="M417" s="58">
        <v>1228</v>
      </c>
      <c r="N417" s="58">
        <v>1228</v>
      </c>
      <c r="O417" s="65">
        <v>1228</v>
      </c>
      <c r="P417" s="65">
        <v>1228</v>
      </c>
    </row>
    <row r="418" spans="1:16" ht="15" thickBot="1" x14ac:dyDescent="0.35">
      <c r="A418" s="56" t="s">
        <v>312</v>
      </c>
      <c r="B418" s="50"/>
      <c r="C418" s="50"/>
      <c r="D418" s="50"/>
      <c r="E418" s="51"/>
      <c r="F418" s="52"/>
      <c r="G418" s="61"/>
      <c r="H418" s="54"/>
      <c r="I418" s="55"/>
      <c r="J418" s="21"/>
      <c r="K418" s="21">
        <v>950</v>
      </c>
      <c r="L418" s="58">
        <v>950</v>
      </c>
      <c r="M418" s="58">
        <v>950</v>
      </c>
      <c r="N418" s="58">
        <v>950</v>
      </c>
      <c r="O418" s="65" t="s">
        <v>42</v>
      </c>
      <c r="P418" s="65"/>
    </row>
    <row r="419" spans="1:16" x14ac:dyDescent="0.3">
      <c r="A419" s="48" t="s">
        <v>312</v>
      </c>
      <c r="B419" s="1">
        <v>1200</v>
      </c>
      <c r="C419" s="3">
        <v>1200</v>
      </c>
      <c r="D419" s="3">
        <v>1450</v>
      </c>
      <c r="E419" s="4">
        <v>1450</v>
      </c>
      <c r="F419" s="1">
        <v>1450</v>
      </c>
      <c r="G419" s="40">
        <v>1450</v>
      </c>
      <c r="H419" s="18">
        <v>913</v>
      </c>
      <c r="I419" s="17">
        <v>913</v>
      </c>
      <c r="J419" s="21">
        <v>913</v>
      </c>
      <c r="K419" s="21">
        <v>913</v>
      </c>
      <c r="L419" s="58">
        <v>913</v>
      </c>
      <c r="M419" s="58">
        <v>913</v>
      </c>
      <c r="N419" s="58">
        <v>913</v>
      </c>
      <c r="O419" s="65" t="s">
        <v>42</v>
      </c>
      <c r="P419" s="65"/>
    </row>
    <row r="420" spans="1:16" ht="15" thickBot="1" x14ac:dyDescent="0.35">
      <c r="A420" s="56"/>
      <c r="B420" s="50"/>
      <c r="C420" s="50"/>
      <c r="D420" s="50"/>
      <c r="E420" s="51"/>
      <c r="F420" s="52"/>
      <c r="G420" s="57"/>
      <c r="H420" s="54"/>
      <c r="I420" s="55"/>
      <c r="J420" s="21"/>
      <c r="K420" s="21"/>
      <c r="L420" s="52"/>
    </row>
    <row r="421" spans="1:16" x14ac:dyDescent="0.3">
      <c r="A421" s="26" t="s">
        <v>313</v>
      </c>
      <c r="B421" s="27">
        <f>ROUND(AVERAGE(Tabel2[2012]),2)</f>
        <v>1340.13</v>
      </c>
      <c r="C421" s="27">
        <f>ROUND(AVERAGE(Tabel2[2013]),2)</f>
        <v>1355.96</v>
      </c>
      <c r="D421" s="27">
        <f>ROUND(AVERAGE(Tabel2[2014]),2)</f>
        <v>1393.12</v>
      </c>
      <c r="E421" s="27">
        <f>ROUND(AVERAGE(Tabel2[2015]),2)</f>
        <v>1397.33</v>
      </c>
      <c r="F421" s="27">
        <f>ROUND(AVERAGE(Tabel2[2016]),2)</f>
        <v>1396.78</v>
      </c>
      <c r="G421" s="37">
        <f>ROUND(AVERAGE(Tabel2[2017]),2)</f>
        <v>1395.22</v>
      </c>
      <c r="H421" s="28">
        <f>ROUND(AVERAGE(Tabel2[2018]),2)</f>
        <v>876.96</v>
      </c>
      <c r="I421" s="28">
        <f>ROUND(AVERAGE(Tabel2[2019]),2)</f>
        <v>881.54</v>
      </c>
      <c r="J421" s="28">
        <f>ROUND(AVERAGE(Tabel2[2020]),2)</f>
        <v>897.19</v>
      </c>
      <c r="K421" s="28">
        <f>ROUND(AVERAGE(Tabel2[2021]),2)</f>
        <v>897.81</v>
      </c>
      <c r="L421" s="28">
        <f>ROUND(AVERAGE(Tabel2[2022]),2)</f>
        <v>899.08</v>
      </c>
      <c r="M421" s="28">
        <v>898.52</v>
      </c>
      <c r="N421" s="28">
        <f>ROUND(AVERAGE(Tabel2[2024]),2)</f>
        <v>895.71</v>
      </c>
      <c r="O421" s="28">
        <f>ROUND(AVERAGE(Tabel2[2025]),2)</f>
        <v>895.01</v>
      </c>
      <c r="P421" s="29">
        <f>ROUND(AVERAGE(Tabel2[2026]),2)</f>
        <v>939.77</v>
      </c>
    </row>
    <row r="422" spans="1:16" x14ac:dyDescent="0.3">
      <c r="A422" s="30" t="s">
        <v>314</v>
      </c>
      <c r="B422" s="7">
        <f>MIN(Tabel2[2012])</f>
        <v>700</v>
      </c>
      <c r="C422" s="7">
        <f>MIN(Tabel2[2013])</f>
        <v>700</v>
      </c>
      <c r="D422" s="7">
        <f>MIN(Tabel2[2014])</f>
        <v>700</v>
      </c>
      <c r="E422" s="7">
        <f>MIN(Tabel2[2015])</f>
        <v>750</v>
      </c>
      <c r="F422" s="7">
        <f>MIN(Tabel2[2016])</f>
        <v>750</v>
      </c>
      <c r="G422" s="38">
        <f>MIN(Tabel2[2017])</f>
        <v>750</v>
      </c>
      <c r="H422" s="31">
        <f>MIN(Tabel2[2018])</f>
        <v>472</v>
      </c>
      <c r="I422" s="31">
        <f>MIN(Tabel2[2019])</f>
        <v>472</v>
      </c>
      <c r="J422" s="31">
        <f>MIN(Tabel2[2020])</f>
        <v>472</v>
      </c>
      <c r="K422" s="31">
        <f>MIN(Tabel2[2021])</f>
        <v>472</v>
      </c>
      <c r="L422" s="31">
        <f>MIN(Tabel2[2022])</f>
        <v>472</v>
      </c>
      <c r="M422" s="31">
        <v>472</v>
      </c>
      <c r="N422" s="31">
        <f>MIN(Tabel2[2024])</f>
        <v>0</v>
      </c>
      <c r="O422" s="31">
        <f>MIN(Tabel2[2025])</f>
        <v>0</v>
      </c>
      <c r="P422" s="32">
        <f>MIN(Tabel2[2026])</f>
        <v>0</v>
      </c>
    </row>
    <row r="423" spans="1:16" ht="15" thickBot="1" x14ac:dyDescent="0.35">
      <c r="A423" s="33" t="s">
        <v>315</v>
      </c>
      <c r="B423" s="34">
        <f xml:space="preserve"> MAX(Tabel2[2012])</f>
        <v>2250</v>
      </c>
      <c r="C423" s="34">
        <f xml:space="preserve"> MAX(Tabel2[2013])</f>
        <v>2250</v>
      </c>
      <c r="D423" s="34">
        <f xml:space="preserve"> MAX(Tabel2[2014])</f>
        <v>2250</v>
      </c>
      <c r="E423" s="34">
        <f xml:space="preserve"> MAX(Tabel2[2015])</f>
        <v>2250</v>
      </c>
      <c r="F423" s="34">
        <f xml:space="preserve"> MAX(Tabel2[2016])</f>
        <v>2250</v>
      </c>
      <c r="G423" s="39">
        <f xml:space="preserve"> MAX(Tabel2[2017])</f>
        <v>2250</v>
      </c>
      <c r="H423" s="35">
        <f xml:space="preserve"> MAX(Tabel2[2018])</f>
        <v>1417</v>
      </c>
      <c r="I423" s="35">
        <f xml:space="preserve"> MAX(Tabel2[2019])</f>
        <v>1417</v>
      </c>
      <c r="J423" s="35">
        <f xml:space="preserve"> MAX(Tabel2[2020])</f>
        <v>1417</v>
      </c>
      <c r="K423" s="35">
        <f xml:space="preserve"> MAX(Tabel2[2021])</f>
        <v>1417</v>
      </c>
      <c r="L423" s="35">
        <f xml:space="preserve"> MAX(Tabel2[2022])</f>
        <v>1417</v>
      </c>
      <c r="M423" s="35">
        <f xml:space="preserve"> MAX(Tabel2[2023])</f>
        <v>1417</v>
      </c>
      <c r="N423" s="35">
        <f xml:space="preserve"> MAX(Tabel2[2024])</f>
        <v>1417</v>
      </c>
      <c r="O423" s="35">
        <f xml:space="preserve"> MAX(Tabel2[2025])</f>
        <v>1417</v>
      </c>
      <c r="P423" s="36">
        <f xml:space="preserve"> MAX(Tabel2[2026])</f>
        <v>1417</v>
      </c>
    </row>
    <row r="424" spans="1:16" x14ac:dyDescent="0.3">
      <c r="A424" s="2"/>
      <c r="B424" s="7"/>
      <c r="C424" s="7"/>
      <c r="D424" s="7"/>
      <c r="E424" s="4"/>
      <c r="G424" s="9"/>
      <c r="H424" s="17"/>
      <c r="I424" s="22"/>
      <c r="J424" s="18"/>
    </row>
    <row r="425" spans="1:16" s="8" customFormat="1" x14ac:dyDescent="0.3">
      <c r="A425" s="14" t="s">
        <v>316</v>
      </c>
      <c r="B425" s="15" t="s">
        <v>1</v>
      </c>
      <c r="C425" s="15" t="s">
        <v>2</v>
      </c>
      <c r="D425" s="15" t="s">
        <v>3</v>
      </c>
      <c r="E425" s="15" t="s">
        <v>4</v>
      </c>
      <c r="F425" s="15" t="s">
        <v>5</v>
      </c>
      <c r="G425" s="15" t="s">
        <v>6</v>
      </c>
      <c r="H425" s="23" t="s">
        <v>7</v>
      </c>
      <c r="I425" s="23" t="s">
        <v>8</v>
      </c>
      <c r="J425" s="23" t="s">
        <v>9</v>
      </c>
      <c r="K425" s="23" t="s">
        <v>10</v>
      </c>
      <c r="L425" s="23" t="s">
        <v>11</v>
      </c>
      <c r="M425" s="23" t="s">
        <v>12</v>
      </c>
      <c r="N425" s="23" t="s">
        <v>13</v>
      </c>
      <c r="O425" s="23" t="s">
        <v>14</v>
      </c>
      <c r="P425" s="23" t="s">
        <v>324</v>
      </c>
    </row>
    <row r="426" spans="1:16" x14ac:dyDescent="0.3">
      <c r="A426" s="6" t="s">
        <v>317</v>
      </c>
      <c r="B426" s="7">
        <v>290</v>
      </c>
      <c r="C426" s="7">
        <v>290</v>
      </c>
      <c r="D426" s="7">
        <v>290</v>
      </c>
      <c r="E426" s="4">
        <v>290</v>
      </c>
      <c r="F426" s="1">
        <v>290</v>
      </c>
      <c r="G426" s="5">
        <v>290</v>
      </c>
      <c r="H426" s="17">
        <v>145.33000000000001</v>
      </c>
      <c r="I426" s="20">
        <v>145.33000000000001</v>
      </c>
      <c r="J426" s="21">
        <v>145.33000000000001</v>
      </c>
      <c r="K426" s="21">
        <v>145.33000000000001</v>
      </c>
      <c r="L426" s="21">
        <v>145.33000000000001</v>
      </c>
      <c r="M426" s="21">
        <v>145.33000000000001</v>
      </c>
      <c r="N426" s="1">
        <v>145.33000000000001</v>
      </c>
      <c r="O426" s="1">
        <v>145.33000000000001</v>
      </c>
      <c r="P426" s="1">
        <v>160</v>
      </c>
    </row>
    <row r="427" spans="1:16" x14ac:dyDescent="0.3">
      <c r="A427" s="6" t="s">
        <v>318</v>
      </c>
      <c r="B427" s="7">
        <v>400</v>
      </c>
      <c r="C427" s="7">
        <v>400</v>
      </c>
      <c r="D427" s="7">
        <v>400</v>
      </c>
      <c r="E427" s="4">
        <v>400</v>
      </c>
      <c r="F427" s="1">
        <v>400</v>
      </c>
      <c r="G427" s="5">
        <v>400</v>
      </c>
      <c r="H427" s="17">
        <v>214.52</v>
      </c>
      <c r="I427" s="20">
        <v>214.52</v>
      </c>
      <c r="J427" s="21">
        <v>214.52</v>
      </c>
      <c r="K427" s="21">
        <v>214.52</v>
      </c>
      <c r="L427" s="21">
        <v>214.52</v>
      </c>
      <c r="M427" s="21">
        <v>214.52</v>
      </c>
      <c r="N427" s="1">
        <v>214.52</v>
      </c>
      <c r="O427" s="1">
        <v>214.52</v>
      </c>
      <c r="P427" s="1">
        <v>214.52</v>
      </c>
    </row>
    <row r="428" spans="1:16" x14ac:dyDescent="0.3">
      <c r="A428" s="6" t="s">
        <v>319</v>
      </c>
      <c r="B428" s="7">
        <v>295</v>
      </c>
      <c r="C428" s="7">
        <v>295</v>
      </c>
      <c r="D428" s="7">
        <v>295</v>
      </c>
      <c r="E428" s="4">
        <v>295</v>
      </c>
      <c r="F428" s="1">
        <v>295</v>
      </c>
      <c r="G428" s="5">
        <v>295</v>
      </c>
      <c r="H428" s="17">
        <v>148.47</v>
      </c>
      <c r="I428" s="20">
        <v>148.47</v>
      </c>
      <c r="J428" s="21">
        <v>148.47</v>
      </c>
      <c r="K428" s="21">
        <v>148.47</v>
      </c>
      <c r="L428" s="21">
        <v>148.47</v>
      </c>
      <c r="M428" s="21">
        <v>148.47</v>
      </c>
      <c r="N428" s="1">
        <v>148.47</v>
      </c>
      <c r="O428" s="1">
        <v>148.47</v>
      </c>
      <c r="P428" s="1">
        <v>148.47</v>
      </c>
    </row>
    <row r="429" spans="1:16" x14ac:dyDescent="0.3">
      <c r="A429" s="6" t="s">
        <v>320</v>
      </c>
      <c r="B429" s="7">
        <v>332</v>
      </c>
      <c r="C429" s="7">
        <v>332</v>
      </c>
      <c r="D429" s="7">
        <v>332</v>
      </c>
      <c r="E429" s="4">
        <v>332</v>
      </c>
      <c r="F429" s="1">
        <v>332</v>
      </c>
      <c r="G429" s="5">
        <v>332</v>
      </c>
      <c r="H429" s="17">
        <v>171.75</v>
      </c>
      <c r="I429" s="20">
        <v>171.75</v>
      </c>
      <c r="J429" s="21">
        <v>171.75</v>
      </c>
      <c r="K429" s="21">
        <v>171.75</v>
      </c>
      <c r="L429" s="21">
        <v>171.75</v>
      </c>
      <c r="M429" s="21">
        <v>171.75</v>
      </c>
      <c r="N429" s="1">
        <v>171.75</v>
      </c>
      <c r="O429" s="1">
        <v>171.75</v>
      </c>
      <c r="P429" s="1">
        <v>171.75</v>
      </c>
    </row>
    <row r="430" spans="1:16" x14ac:dyDescent="0.3">
      <c r="A430" s="6" t="s">
        <v>321</v>
      </c>
      <c r="B430" s="7">
        <v>355</v>
      </c>
      <c r="C430" s="7">
        <v>355</v>
      </c>
      <c r="D430" s="7">
        <v>355</v>
      </c>
      <c r="E430" s="4">
        <v>355</v>
      </c>
      <c r="F430" s="1">
        <v>355</v>
      </c>
      <c r="G430" s="5">
        <v>355</v>
      </c>
      <c r="H430" s="17">
        <v>186.22</v>
      </c>
      <c r="I430" s="20">
        <v>186.22</v>
      </c>
      <c r="J430" s="21">
        <v>186.22</v>
      </c>
      <c r="K430" s="21">
        <v>186.22</v>
      </c>
      <c r="L430" s="21">
        <v>186.22</v>
      </c>
      <c r="M430" s="21">
        <v>186.22</v>
      </c>
      <c r="N430" s="1">
        <v>186.22</v>
      </c>
      <c r="O430" s="1">
        <v>186.22</v>
      </c>
      <c r="P430" s="1">
        <v>186.22</v>
      </c>
    </row>
    <row r="431" spans="1:16" ht="115.5" customHeight="1" x14ac:dyDescent="0.3">
      <c r="A431" s="88" t="s">
        <v>322</v>
      </c>
      <c r="B431" s="88"/>
      <c r="C431" s="88"/>
      <c r="D431" s="88"/>
      <c r="E431" s="88"/>
      <c r="F431" s="88"/>
      <c r="G431" s="88"/>
      <c r="H431" s="88"/>
      <c r="I431" s="88"/>
      <c r="J431" s="88"/>
    </row>
    <row r="432" spans="1:16" ht="171.75" customHeight="1" x14ac:dyDescent="0.3">
      <c r="A432" s="88" t="s">
        <v>323</v>
      </c>
      <c r="B432" s="88"/>
      <c r="C432" s="88"/>
      <c r="D432" s="88"/>
      <c r="E432" s="88"/>
      <c r="F432" s="88"/>
      <c r="G432" s="88"/>
      <c r="H432" s="88"/>
      <c r="I432" s="88"/>
      <c r="J432" s="88"/>
    </row>
  </sheetData>
  <mergeCells count="2">
    <mergeCell ref="A431:J431"/>
    <mergeCell ref="A432:J432"/>
  </mergeCells>
  <phoneticPr fontId="0" type="noConversion"/>
  <conditionalFormatting sqref="J2">
    <cfRule type="expression" dxfId="22" priority="38">
      <formula>J2&lt;I2</formula>
    </cfRule>
  </conditionalFormatting>
  <conditionalFormatting sqref="J2:K420 L266 L293 L408">
    <cfRule type="expression" dxfId="21" priority="39">
      <formula>J2&gt;I2</formula>
    </cfRule>
  </conditionalFormatting>
  <conditionalFormatting sqref="K2">
    <cfRule type="expression" dxfId="20" priority="36">
      <formula>K2&lt;J2</formula>
    </cfRule>
  </conditionalFormatting>
  <conditionalFormatting sqref="L165 L183 L220 L236 L253:L254 L274:L275 L315 L361 L406">
    <cfRule type="expression" dxfId="19" priority="40">
      <formula>L165&gt;#REF!</formula>
    </cfRule>
  </conditionalFormatting>
  <conditionalFormatting sqref="M152">
    <cfRule type="expression" dxfId="18" priority="33">
      <formula>M152&gt;L152</formula>
    </cfRule>
  </conditionalFormatting>
  <conditionalFormatting sqref="M165 M183 M220 M236 M253:M254 M274:M275 M315 M361 M406">
    <cfRule type="expression" dxfId="17" priority="35">
      <formula>M165&gt;#REF!</formula>
    </cfRule>
  </conditionalFormatting>
  <conditionalFormatting sqref="M260:M261">
    <cfRule type="expression" dxfId="16" priority="32">
      <formula>M260&gt;L260</formula>
    </cfRule>
  </conditionalFormatting>
  <conditionalFormatting sqref="M266 M293 M408">
    <cfRule type="expression" dxfId="15" priority="34">
      <formula>M266&gt;L266</formula>
    </cfRule>
  </conditionalFormatting>
  <conditionalFormatting sqref="M273">
    <cfRule type="expression" dxfId="14" priority="31">
      <formula>M273&gt;L273</formula>
    </cfRule>
  </conditionalFormatting>
  <conditionalFormatting sqref="M380">
    <cfRule type="expression" dxfId="13" priority="30">
      <formula>M380&gt;L380</formula>
    </cfRule>
  </conditionalFormatting>
  <conditionalFormatting sqref="N183:O183">
    <cfRule type="expression" dxfId="12" priority="29">
      <formula>N183&gt;#REF!</formula>
    </cfRule>
  </conditionalFormatting>
  <conditionalFormatting sqref="N220:O220">
    <cfRule type="expression" dxfId="11" priority="27">
      <formula>N220&gt;#REF!</formula>
    </cfRule>
  </conditionalFormatting>
  <conditionalFormatting sqref="N236:O236">
    <cfRule type="expression" dxfId="10" priority="26">
      <formula>N236&gt;#REF!</formula>
    </cfRule>
  </conditionalFormatting>
  <conditionalFormatting sqref="N253:O254">
    <cfRule type="expression" dxfId="9" priority="24">
      <formula>N253&gt;#REF!</formula>
    </cfRule>
  </conditionalFormatting>
  <conditionalFormatting sqref="N266:O266">
    <cfRule type="expression" dxfId="8" priority="23">
      <formula>N266&gt;M266</formula>
    </cfRule>
  </conditionalFormatting>
  <conditionalFormatting sqref="N274:O275">
    <cfRule type="expression" dxfId="7" priority="22">
      <formula>N274&gt;#REF!</formula>
    </cfRule>
  </conditionalFormatting>
  <conditionalFormatting sqref="N293:O293">
    <cfRule type="expression" dxfId="6" priority="21">
      <formula>N293&gt;M293</formula>
    </cfRule>
  </conditionalFormatting>
  <conditionalFormatting sqref="N315:O315">
    <cfRule type="expression" dxfId="5" priority="20">
      <formula>N315&gt;#REF!</formula>
    </cfRule>
  </conditionalFormatting>
  <conditionalFormatting sqref="N361:O361">
    <cfRule type="expression" dxfId="4" priority="19">
      <formula>N361&gt;#REF!</formula>
    </cfRule>
  </conditionalFormatting>
  <conditionalFormatting sqref="N406:O406">
    <cfRule type="expression" dxfId="3" priority="18">
      <formula>N406&gt;#REF!</formula>
    </cfRule>
  </conditionalFormatting>
  <conditionalFormatting sqref="N408:O408">
    <cfRule type="expression" dxfId="2" priority="17">
      <formula>N408&gt;#REF!</formula>
    </cfRule>
  </conditionalFormatting>
  <conditionalFormatting sqref="P2:P18 P20:P22 P25:P39 P42:P62 P66:P71 P74:P94 P97:P123 P128:P133 P138:P152 P161:P168 P174:P195 P198:P199 P205:P208 P213:P224 P231:P232 P235:P259 P262:P272 P274:P276 P282:P284 P293:P297 P301:P322 P325 P335:P337 P340:P363 P366 P371:P374 P376 P380:P381 P386 P391 P394:P398 P404:P420">
    <cfRule type="expression" dxfId="1" priority="2">
      <formula>P2&gt;O2</formula>
    </cfRule>
  </conditionalFormatting>
  <conditionalFormatting sqref="P426">
    <cfRule type="expression" dxfId="0" priority="1">
      <formula>$P$426&gt;$O$426</formula>
    </cfRule>
  </conditionalFormatting>
  <hyperlinks>
    <hyperlink ref="A95" r:id="rId1" xr:uid="{158FD221-2C0F-4020-B91E-B0461275EF47}"/>
    <hyperlink ref="A96" r:id="rId2" xr:uid="{F4567959-2D46-4052-8157-825435F4C93A}"/>
    <hyperlink ref="A327" r:id="rId3" xr:uid="{D1A8A5D9-303B-4A50-8957-DC85134EE4BC}"/>
    <hyperlink ref="A326" r:id="rId4" display=" SINT-PIETERS-LEEUW" xr:uid="{145AFEF7-1175-4A45-AD91-D5D79D059FE2}"/>
    <hyperlink ref="A419" r:id="rId5" display=" ZWIJNDRECHT - gedifferentieerde opcentiem" xr:uid="{9A050F99-7A98-424E-A954-889343E18519}"/>
    <hyperlink ref="A418" r:id="rId6" xr:uid="{D31DCC70-0507-4244-AF4D-84B47DEAE92B}"/>
    <hyperlink ref="A73" r:id="rId7" xr:uid="{938C90A0-ED1D-49F7-B344-047034EA4E51}"/>
    <hyperlink ref="A72" r:id="rId8" xr:uid="{78B95207-D580-42F3-877A-59D30E5492BE}"/>
    <hyperlink ref="A88" r:id="rId9" xr:uid="{B9E71A82-AE79-4C2F-A186-5149DEE7826A}"/>
    <hyperlink ref="A85:A88" r:id="rId10" display=" GEEL - gedifferentieerde opcentiem" xr:uid="{596E6826-BACD-42CE-9E91-4A0BD05D50BB}"/>
    <hyperlink ref="A218" r:id="rId11" xr:uid="{7D66238A-79A1-4CBB-8386-7A16B615A34C}"/>
    <hyperlink ref="A217" r:id="rId12" xr:uid="{2D905DDF-E4C7-4116-A16E-990A77EAA2DC}"/>
    <hyperlink ref="A9" r:id="rId13" display=" DILBEEK - gedifferentieerde opcentiem" xr:uid="{23029D79-F979-4965-847A-5171D4D4512C}"/>
    <hyperlink ref="A10" r:id="rId14" display=" DILBEEK - gedifferentieerde opcentiem" xr:uid="{12C3EE71-400B-4CC8-B32E-9337371640C0}"/>
    <hyperlink ref="A318" r:id="rId15" display=" SINT-PIETERS-LEEUW" xr:uid="{9A8419ED-9C5F-419E-B1CA-AA4EC253883F}"/>
    <hyperlink ref="A319" r:id="rId16" display=" SINT-PIETERS-LEEUW" xr:uid="{89DB1EE1-E659-43C1-AA9E-F0034B37BF37}"/>
    <hyperlink ref="A342" r:id="rId17" display=" SINT-PIETERS-LEEUW" xr:uid="{57E02D70-84A2-4F3F-9BFC-787FB6B96204}"/>
    <hyperlink ref="A343" r:id="rId18" display=" SINT-PIETERS-LEEUW" xr:uid="{E2D09695-BF15-40A9-B870-AC517CBA330D}"/>
    <hyperlink ref="A11" r:id="rId19" display=" DILBEEK - gedifferentieerde opcentiem" xr:uid="{0CCC8BBB-5929-45A7-A59E-633B0110B7E0}"/>
    <hyperlink ref="A33" r:id="rId20" display="BEVEREN-KRUIBEKE-ZWIJNDRECHT - gedifferentieerde opcentiemen" xr:uid="{3FE8946A-D61F-440B-8FBF-1DA9165D806B}"/>
    <hyperlink ref="A34" r:id="rId21" display="BEVEREN-KRUIBEKE-ZWIJNDRECHT - gedifferentieerde opcentiemen" xr:uid="{4E009CEF-C162-4A57-B00F-154DED6FEC92}"/>
    <hyperlink ref="A294" r:id="rId22" display=" PUURS-SINT-AMANDS - gedifferentieerde opcentiemen" xr:uid="{0E2273C8-080C-4F99-B873-49DE5E539D13}"/>
    <hyperlink ref="A295" r:id="rId23" display=" PUURS-SINT-AMANDS - gedifferentieerde opcentiemen" xr:uid="{2A4A37F3-9FC2-4840-AABC-11E8A91C6E1E}"/>
    <hyperlink ref="A296" r:id="rId24" display=" PUURS-SINT-AMANDS - gedifferentieerde opcentiemen" xr:uid="{312A22BD-C2E6-4DCD-AA77-AFB45D7F447D}"/>
    <hyperlink ref="A297" r:id="rId25" display=" PUURS-SINT-AMANDS - gedifferentieerde opcentiemen" xr:uid="{2BCC7C86-4AE6-407A-BC0B-C9320148D351}"/>
    <hyperlink ref="A24" r:id="rId26" display="BEERSEL - gedifferentieerde opcentiemen" xr:uid="{0B4114C4-4612-444B-97A8-7F4A9C4C9A98}"/>
    <hyperlink ref="A23" r:id="rId27" display="BEERSEL - gedifferentieerde opcentiemen" xr:uid="{74B51BDD-4255-429B-918C-2C6368891158}"/>
    <hyperlink ref="A40" r:id="rId28" display=" BOECHOUT" xr:uid="{48D258AA-F38D-4BEB-8011-9BB42C033656}"/>
    <hyperlink ref="A41" r:id="rId29" display=" BOECHOUT" xr:uid="{3AC873D3-DA9B-4C42-8190-02D1F8485CBB}"/>
    <hyperlink ref="A63" r:id="rId30" display=" DENDERMONDE" xr:uid="{447AB991-65F3-45E4-B9C4-5B3524A87DD9}"/>
    <hyperlink ref="A64" r:id="rId31" display=" DENDERMONDE" xr:uid="{D945265F-E62E-4282-A346-F92E49D98070}"/>
    <hyperlink ref="A65" r:id="rId32" display=" DENDERMONDE" xr:uid="{51751C19-DDC6-4DA5-8F65-57647BD3B813}"/>
    <hyperlink ref="A123" r:id="rId33" display=" HEUSDEN-ZOLDER" xr:uid="{AC1E7012-44CB-42EB-A581-929154429A5F}"/>
    <hyperlink ref="A124" r:id="rId34" display=" HEUSDEN-ZOLDER" xr:uid="{2115A121-D457-4989-A6D2-9728A56B01A2}"/>
    <hyperlink ref="A125" r:id="rId35" display=" HEUSDEN-ZOLDER" xr:uid="{B16B2565-02F1-4300-A652-E96ACBDD735C}"/>
    <hyperlink ref="A126" r:id="rId36" display=" HEUSDEN-ZOLDER" xr:uid="{BA0ED676-3467-4EB2-8A8A-8262C382A14A}"/>
    <hyperlink ref="A127" r:id="rId37" display=" HEUSDEN-ZOLDER" xr:uid="{5F45BE72-4F50-42A2-A773-5D3C9769C067}"/>
    <hyperlink ref="A133" r:id="rId38" display=" HOOGLEDE" xr:uid="{A64BA42D-272B-440D-8D16-B1663262697A}"/>
    <hyperlink ref="A134" r:id="rId39" display=" HOOGLEDE" xr:uid="{0F28E43B-45C3-450D-8EAC-72985D93880B}"/>
    <hyperlink ref="A135" r:id="rId40" display=" HOOGLEDE" xr:uid="{00583872-9580-4530-832E-0A9EB8BA76DF}"/>
    <hyperlink ref="A136" r:id="rId41" display=" HOOGLEDE" xr:uid="{5DB2E181-F137-4C94-A088-35BA7440AB68}"/>
    <hyperlink ref="A137" r:id="rId42" display=" HOOGLEDE" xr:uid="{48650A79-5858-4FD6-9ADF-566BEB8AFFC8}"/>
    <hyperlink ref="A153" r:id="rId43" display=" KAPELLE-OP-DEN-BOS" xr:uid="{7BC020ED-5687-467E-8AC0-B4267D2B299F}"/>
    <hyperlink ref="A154" r:id="rId44" display=" KAPELLE-OP-DEN-BOS" xr:uid="{E2760419-6290-4253-A959-8D57495FECE5}"/>
    <hyperlink ref="A155" r:id="rId45" display=" KAPELLE-OP-DEN-BOS" xr:uid="{FA94773F-7187-473B-9651-A2B112F18D36}"/>
    <hyperlink ref="A156" r:id="rId46" display=" KAPELLE-OP-DEN-BOS" xr:uid="{9BF62AAA-B6BA-48B3-91DF-C4E62D01CC9D}"/>
    <hyperlink ref="A157" r:id="rId47" display=" KAPRIJKE" xr:uid="{E04F2D2C-BBAA-41B1-876E-EA2F60188B99}"/>
    <hyperlink ref="A158" r:id="rId48" display=" KAPRIJKE" xr:uid="{3686035F-D16B-427F-BA11-B4408A4FE67F}"/>
    <hyperlink ref="A159" r:id="rId49" display=" KAPRIJKE" xr:uid="{5A48ABB8-A3BC-4DEE-A089-5AB57DAD2CDF}"/>
    <hyperlink ref="A160" r:id="rId50" display=" KAPRIJKE" xr:uid="{89ED1E93-65E4-4C78-87AE-1492629A0730}"/>
    <hyperlink ref="A169" r:id="rId51" display=" KONTICH" xr:uid="{FF2E7653-9581-448B-8706-D2A5C40DE252}"/>
    <hyperlink ref="A170" r:id="rId52" display=" KONTICH" xr:uid="{CF5B9461-8E35-4155-8B71-AA6BD65401B9}"/>
    <hyperlink ref="A171" r:id="rId53" display=" KONTICH" xr:uid="{ED418227-DDB2-4D94-9EE9-D534C9587CF0}"/>
    <hyperlink ref="A172" r:id="rId54" display=" KONTICH" xr:uid="{DBCC26A7-DA30-4C9A-8650-6736756B5EA5}"/>
    <hyperlink ref="A173" r:id="rId55" display=" KONTICH" xr:uid="{FF61EAFD-0B3C-4910-8F1C-3430B5E224E9}"/>
    <hyperlink ref="A196" r:id="rId56" display=" LEUVEN" xr:uid="{25890320-6B28-420B-B455-2A329DC92A23}"/>
    <hyperlink ref="A197" r:id="rId57" display=" LEUVEN" xr:uid="{514C500C-3059-43E0-90F2-385BE6FDC863}"/>
    <hyperlink ref="A200" r:id="rId58" display=" LIER" xr:uid="{BD60EE39-BF10-43E1-9B6B-1C9D06542602}"/>
    <hyperlink ref="A201" r:id="rId59" display=" LIER" xr:uid="{418EA773-3DD5-4B08-A438-9EC96214A441}"/>
    <hyperlink ref="A202" r:id="rId60" display=" LIER" xr:uid="{581540C2-CBCF-47AA-9652-CFBEF4916B3E}"/>
    <hyperlink ref="A203" r:id="rId61" display=" LIER" xr:uid="{92F39E6B-5C4E-4037-B047-34C2E7F7C31A}"/>
    <hyperlink ref="A204" r:id="rId62" display=" LIER" xr:uid="{C0786AC4-B07A-4C8A-8D05-0684E5DB3E63}"/>
    <hyperlink ref="A209" r:id="rId63" display=" LINT" xr:uid="{051C8306-6DC9-447E-961E-89DFC18B2792}"/>
    <hyperlink ref="A211" r:id="rId64" display=" LINT" xr:uid="{C775B57A-A346-417E-BE87-4EE9D12F2B99}"/>
    <hyperlink ref="A226" r:id="rId65" display=" MACHELEN" xr:uid="{5D42DACA-4EDE-411E-93EA-87E5E38172E5}"/>
    <hyperlink ref="A233" r:id="rId66" display=" MECHELEN" xr:uid="{7A6AF1A2-850A-49E1-AF2C-850ED2518095}"/>
    <hyperlink ref="A260" r:id="rId67" display=" OLEN" xr:uid="{00698A43-042D-44B9-B675-742599C0309A}"/>
    <hyperlink ref="A261" r:id="rId68" display=" OLEN" xr:uid="{96418C8C-E1FF-45BB-8B50-799C6E44395F}"/>
    <hyperlink ref="A277" r:id="rId69" display=" PELT" xr:uid="{19D5E37D-7F14-46C0-B178-21E3EC1321BC}"/>
    <hyperlink ref="A285" r:id="rId70" display=" PUTTE" xr:uid="{E3E1294C-D491-49F1-9FDC-274047E57E2D}"/>
    <hyperlink ref="A298" r:id="rId71" display=" RANST" xr:uid="{B9D4A732-2DFF-4F05-8049-F460A64DF865}"/>
    <hyperlink ref="A299" r:id="rId72" display=" RANST" xr:uid="{2BDC4DB5-D532-46AA-8E56-59A9020D15FD}"/>
    <hyperlink ref="A300" r:id="rId73" display=" RANST" xr:uid="{63F1AFB2-5E78-48D4-876B-F684817CDAAB}"/>
    <hyperlink ref="A322" r:id="rId74" display=" SINT-MARTENS-LATEM" xr:uid="{164AD483-F18B-4226-939E-C5FB78EF2756}"/>
    <hyperlink ref="A323" r:id="rId75" display=" SINT-MARTENS-LATEM" xr:uid="{C8CB2D90-332C-425F-9F11-41E9BC533C14}"/>
    <hyperlink ref="A324" r:id="rId76" display=" SINT-MARTENS-LATEM" xr:uid="{AD9FF815-0C66-4737-A70A-3228D57319A9}"/>
    <hyperlink ref="A328" r:id="rId77" display=" SINT-TRUIDEN - gedifferentieerde opcentiemen" xr:uid="{3CB7AEF5-528B-47DD-8B39-C678C9A21645}"/>
    <hyperlink ref="A333" r:id="rId78" display=" SINT-TRUIDEN - gedifferentieerde opcentiemen" xr:uid="{7C082DC9-7AFE-4454-9BD3-A7A6DF1D8EFF}"/>
    <hyperlink ref="A334" r:id="rId79" display=" SINT-TRUIDEN - gedifferentieerde opcentiemen" xr:uid="{77A833F5-C482-4140-AFEC-A2CCEFC3CDC1}"/>
    <hyperlink ref="A338" r:id="rId80" xr:uid="{93CA6599-8B1A-4637-890B-B503C56DC7CA}"/>
    <hyperlink ref="A339" r:id="rId81" xr:uid="{9B7E232C-5124-4E49-BA7A-69C88ACC7D54}"/>
    <hyperlink ref="A364" r:id="rId82" xr:uid="{70C1DCA8-A723-464D-B117-9BE2F51F33DD}"/>
    <hyperlink ref="A365" r:id="rId83" xr:uid="{8B89DE89-51F0-4888-8E00-BD931531D9CE}"/>
    <hyperlink ref="A367" r:id="rId84" xr:uid="{039C3C32-FED5-4119-96F7-46AB9171461B}"/>
    <hyperlink ref="A368" r:id="rId85" xr:uid="{596B675E-778B-42C1-96DA-C7B6B51E1A8B}"/>
    <hyperlink ref="A369" r:id="rId86" xr:uid="{867B2226-7AA4-499B-979A-15E525E4B0F0}"/>
    <hyperlink ref="A370" r:id="rId87" xr:uid="{81514B27-B1AB-4123-A75E-9D64933BE7AD}"/>
    <hyperlink ref="A374" r:id="rId88" xr:uid="{F131F4CF-A3DC-4854-92C3-E7B0F1E0C075}"/>
    <hyperlink ref="A375" r:id="rId89" xr:uid="{CA91BCF0-8364-4FA5-899E-BFAD92F5E69B}"/>
    <hyperlink ref="A377" r:id="rId90" xr:uid="{7E3BF7BA-CA84-4445-9C6E-78280C71B04E}"/>
    <hyperlink ref="A378" r:id="rId91" xr:uid="{497C1738-E7B9-4A0A-8232-0295848FB945}"/>
    <hyperlink ref="A379" r:id="rId92" xr:uid="{A4956140-2636-4B79-8C35-8FC0B5C297C0}"/>
    <hyperlink ref="A381" r:id="rId93" xr:uid="{24DA7EA2-92E7-46B4-9038-784CD3F9E312}"/>
    <hyperlink ref="A382" r:id="rId94" xr:uid="{3F35D682-9763-442B-A26A-774CD8B199A3}"/>
    <hyperlink ref="A383" r:id="rId95" xr:uid="{75A2AC87-2657-4A53-A535-7AD25B5B0B96}"/>
    <hyperlink ref="A384" r:id="rId96" xr:uid="{DDE1C755-93AF-488D-A105-AFBB60B3E94F}"/>
    <hyperlink ref="A385" r:id="rId97" xr:uid="{65CD9E79-AB84-4EDC-B009-A06A33BFB598}"/>
    <hyperlink ref="A386" r:id="rId98" xr:uid="{C4F6415F-A3AF-45A3-8C0D-95F4D1C36889}"/>
    <hyperlink ref="A387" r:id="rId99" xr:uid="{1DA5B47B-C70B-4035-BBB3-3B6EBE32E67A}"/>
    <hyperlink ref="A388" r:id="rId100" xr:uid="{FC0B4B5A-9F58-431D-A6C1-13A79F2DA269}"/>
    <hyperlink ref="A389" r:id="rId101" xr:uid="{81CAC75E-4AA0-42CA-9EFA-FCFE9D5D950D}"/>
    <hyperlink ref="A390" r:id="rId102" xr:uid="{50DD1653-765B-4452-9AB1-E5AA258094B1}"/>
    <hyperlink ref="A392" r:id="rId103" display=" WOMMELGEM - gedifferntieerde opcentiem" xr:uid="{889E0049-A305-4934-AA69-D38CB5B5C14D}"/>
    <hyperlink ref="A393" r:id="rId104" display=" WOMMELGEM - gedifferntieerde opcentiem" xr:uid="{D3EB0770-1F38-4F45-8A0A-48C6E70FCACD}"/>
    <hyperlink ref="A399" r:id="rId105" xr:uid="{966F443C-BF81-4115-9824-8400FC95EC9D}"/>
    <hyperlink ref="A400" r:id="rId106" xr:uid="{B93154BD-6CE5-4066-925D-0C93AA6FF4A8}"/>
    <hyperlink ref="A401" r:id="rId107" xr:uid="{78D9262F-72D5-4270-882E-9B1471B1A3FE}"/>
    <hyperlink ref="A402" r:id="rId108" xr:uid="{70FAD3AF-49E5-4E20-B391-4F261CF54CDF}"/>
    <hyperlink ref="A403" r:id="rId109" xr:uid="{01D63F52-75D4-4261-8829-6B17658C0E6B}"/>
    <hyperlink ref="A210" r:id="rId110" display=" LINT" xr:uid="{17C47C1D-8BEF-4AC7-AC8E-4D3A5B023550}"/>
    <hyperlink ref="A212" r:id="rId111" display=" LINT" xr:uid="{73E97BD7-1D0E-461E-92CE-D4EBEB59F168}"/>
    <hyperlink ref="A227" r:id="rId112" display=" MACHELEN" xr:uid="{8CEBECF1-A588-4409-B3EF-DCEDA0619CB5}"/>
    <hyperlink ref="A228" r:id="rId113" display=" MACHELEN" xr:uid="{10D5F083-30A5-4CE9-85FC-82300EB6BCA5}"/>
    <hyperlink ref="A229" r:id="rId114" display=" MACHELEN" xr:uid="{C697B3A2-F729-4A35-88C6-3D9BD4604FE4}"/>
    <hyperlink ref="A230" r:id="rId115" display=" MACHELEN" xr:uid="{5ABFE870-44AA-420E-AD49-F0BD6BDF98C0}"/>
    <hyperlink ref="A234" r:id="rId116" display=" MECHELEN" xr:uid="{08B92E65-97FA-4D39-8A65-A0D4F3BE4279}"/>
    <hyperlink ref="A278" r:id="rId117" display=" PELT" xr:uid="{13D23AB5-7157-4FF0-B15B-277DD097940B}"/>
    <hyperlink ref="A279" r:id="rId118" display=" PELT" xr:uid="{3510AB1A-CFDD-4C73-80B6-0F609D460FCD}"/>
    <hyperlink ref="A280" r:id="rId119" display=" PELT" xr:uid="{A9B2487F-1299-4676-BC8E-D0C4533F0AD2}"/>
    <hyperlink ref="A281" r:id="rId120" display=" PELT" xr:uid="{EB486462-3CD1-4DBD-B076-B4EDCDEF0302}"/>
    <hyperlink ref="A286" r:id="rId121" display=" PUTTE" xr:uid="{B8B5E3E2-7B38-45BE-8F98-B01177DC28E2}"/>
    <hyperlink ref="A287" r:id="rId122" display=" PUTTE" xr:uid="{EFC730F6-A2B9-41C6-91E0-B1B8965C9106}"/>
    <hyperlink ref="A288" r:id="rId123" display=" PUTTE" xr:uid="{DCFC7D5E-8151-4FBE-A005-BEEA9B1E1900}"/>
    <hyperlink ref="A289" r:id="rId124" display=" PUTTE" xr:uid="{374960E3-7E26-4921-A4F1-E9E018623DAA}"/>
    <hyperlink ref="A290" r:id="rId125" display=" PUTTE" xr:uid="{88C0D412-340C-4E9B-B2DA-FC0B925CBBBB}"/>
    <hyperlink ref="A291" r:id="rId126" display=" PUTTE" xr:uid="{84AD1FC0-8CDC-4A83-A215-8A2722DE2F6B}"/>
    <hyperlink ref="A292" r:id="rId127" display=" PUTTE" xr:uid="{11799321-C201-4078-B112-F5C0337E411E}"/>
    <hyperlink ref="A329" r:id="rId128" display=" SINT-TRUIDEN - gedifferentieerde opcentiemen" xr:uid="{54C73EF4-5374-465D-BD97-8718B3EB4E36}"/>
    <hyperlink ref="A330" r:id="rId129" display=" SINT-TRUIDEN - gedifferentieerde opcentiemen" xr:uid="{632AFDD3-2269-4C42-BDE9-96AEFD740DF4}"/>
    <hyperlink ref="A331" r:id="rId130" display=" SINT-TRUIDEN - gedifferentieerde opcentiemen" xr:uid="{A77582E9-85C5-49F8-ACBD-1402BDD5F92D}"/>
    <hyperlink ref="A332" r:id="rId131" display=" SINT-TRUIDEN - gedifferentieerde opcentiemen" xr:uid="{4BCA22BB-FC53-4DA2-9E8D-01854A0E97E7}"/>
    <hyperlink ref="A94" r:id="rId132" xr:uid="{E2A6BB7E-46DA-43AC-9159-048645E1055B}"/>
  </hyperlinks>
  <pageMargins left="0.23622047244094491" right="0.23622047244094491" top="0.74803149606299213" bottom="0.74803149606299213" header="0.31496062992125984" footer="0.31496062992125984"/>
  <pageSetup paperSize="9" scale="80" fitToHeight="0" orientation="landscape" r:id="rId133"/>
  <headerFooter alignWithMargins="0">
    <oddHeader>&amp;F</oddHeader>
  </headerFooter>
  <rowBreaks count="4" manualBreakCount="4">
    <brk id="39" max="15" man="1"/>
    <brk id="78" max="15" man="1"/>
    <brk id="355" max="15" man="1"/>
    <brk id="412" max="15" man="1"/>
  </rowBreaks>
  <colBreaks count="1" manualBreakCount="1">
    <brk id="23" max="1048575" man="1"/>
  </colBreaks>
  <tableParts count="2">
    <tablePart r:id="rId134"/>
    <tablePart r:id="rId13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c8ac7c-cf5d-436b-b426-8989c6b489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DD2F90A511E74899061E597C218627" ma:contentTypeVersion="10" ma:contentTypeDescription="Een nieuw document maken." ma:contentTypeScope="" ma:versionID="61f6f2b3ca0ff83081462fd617ffa759">
  <xsd:schema xmlns:xsd="http://www.w3.org/2001/XMLSchema" xmlns:xs="http://www.w3.org/2001/XMLSchema" xmlns:p="http://schemas.microsoft.com/office/2006/metadata/properties" xmlns:ns3="35c8ac7c-cf5d-436b-b426-8989c6b489f3" targetNamespace="http://schemas.microsoft.com/office/2006/metadata/properties" ma:root="true" ma:fieldsID="2eaa4d0f0262d1f5b0067db40282350c" ns3:_="">
    <xsd:import namespace="35c8ac7c-cf5d-436b-b426-8989c6b489f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c8ac7c-cf5d-436b-b426-8989c6b489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0E8C44-A6C6-4907-8748-C577A8379239}">
  <ds:schemaRefs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35c8ac7c-cf5d-436b-b426-8989c6b489f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84665B6-58FB-4697-B1E6-CD1046843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c8ac7c-cf5d-436b-b426-8989c6b489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BF694E-577C-4DF3-BE80-DD0E14FE97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4</vt:i4>
      </vt:variant>
    </vt:vector>
  </HeadingPairs>
  <TitlesOfParts>
    <vt:vector size="5" baseType="lpstr">
      <vt:lpstr>OverzichtOpcentiemen</vt:lpstr>
      <vt:lpstr>OverzichtOpcentiemen!Afdrukbereik</vt:lpstr>
      <vt:lpstr>OverzichtOpcentiemen!Afdruktitels</vt:lpstr>
      <vt:lpstr>OpcentiemenGemeenten</vt:lpstr>
      <vt:lpstr>OpcentiemenProvincie</vt:lpstr>
    </vt:vector>
  </TitlesOfParts>
  <Manager/>
  <Company>MVG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katrien matthijs</dc:creator>
  <cp:keywords/>
  <dc:description/>
  <cp:lastModifiedBy>Verlinden Karin</cp:lastModifiedBy>
  <cp:revision/>
  <cp:lastPrinted>2026-02-06T12:46:31Z</cp:lastPrinted>
  <dcterms:created xsi:type="dcterms:W3CDTF">2009-06-04T13:51:29Z</dcterms:created>
  <dcterms:modified xsi:type="dcterms:W3CDTF">2026-03-09T14:01:34Z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0x010100D0DD2F90A511E74899061E597C218627</vt:lpwstr>
  </property>
</Properties>
</file>